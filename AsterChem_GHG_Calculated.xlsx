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hith\Downloads\"/>
    </mc:Choice>
  </mc:AlternateContent>
  <xr:revisionPtr revIDLastSave="0" documentId="13_ncr:1_{54BAF827-C5CF-413C-888B-A9EBD753D1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HG Summary" sheetId="7" r:id="rId1"/>
    <sheet name="Company Data" sheetId="1" r:id="rId2"/>
    <sheet name="Scope 1 Data" sheetId="2" r:id="rId3"/>
    <sheet name="Scope 2 Data" sheetId="3" r:id="rId4"/>
    <sheet name="Scope 3 Data" sheetId="4" r:id="rId5"/>
    <sheet name="Emission Factor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7" l="1"/>
  <c r="B22" i="7"/>
  <c r="M6" i="4"/>
  <c r="M7" i="4"/>
  <c r="M8" i="4"/>
  <c r="M9" i="4"/>
  <c r="M10" i="4"/>
  <c r="M11" i="4"/>
  <c r="M12" i="4"/>
  <c r="M13" i="4"/>
  <c r="N13" i="4" s="1"/>
  <c r="M14" i="4"/>
  <c r="M15" i="4"/>
  <c r="N15" i="4" s="1"/>
  <c r="R10" i="4" s="1"/>
  <c r="M16" i="4"/>
  <c r="N16" i="4" s="1"/>
  <c r="M17" i="4"/>
  <c r="N17" i="4" s="1"/>
  <c r="R11" i="4" s="1"/>
  <c r="M18" i="4"/>
  <c r="M19" i="4"/>
  <c r="N19" i="4" s="1"/>
  <c r="R13" i="4" s="1"/>
  <c r="M20" i="4"/>
  <c r="N20" i="4" s="1"/>
  <c r="M21" i="4"/>
  <c r="N21" i="4" s="1"/>
  <c r="R14" i="4" s="1"/>
  <c r="M22" i="4"/>
  <c r="M23" i="4"/>
  <c r="M24" i="4"/>
  <c r="M25" i="4"/>
  <c r="M26" i="4"/>
  <c r="N26" i="4" s="1"/>
  <c r="R19" i="4" s="1"/>
  <c r="M5" i="4"/>
  <c r="N14" i="4"/>
  <c r="N22" i="4"/>
  <c r="R15" i="4" s="1"/>
  <c r="N23" i="4"/>
  <c r="R16" i="4" s="1"/>
  <c r="N24" i="4"/>
  <c r="R17" i="4" s="1"/>
  <c r="N25" i="4"/>
  <c r="R18" i="4" s="1"/>
  <c r="O6" i="3"/>
  <c r="O7" i="3"/>
  <c r="O8" i="3"/>
  <c r="O9" i="3"/>
  <c r="Q9" i="3" s="1"/>
  <c r="O10" i="3"/>
  <c r="Q10" i="3" s="1"/>
  <c r="O5" i="3"/>
  <c r="Q5" i="3" s="1"/>
  <c r="P8" i="2"/>
  <c r="P7" i="2"/>
  <c r="P6" i="2"/>
  <c r="P5" i="2"/>
  <c r="B16" i="7"/>
  <c r="B5" i="7"/>
  <c r="F4" i="7" s="1"/>
  <c r="B4" i="7"/>
  <c r="R6" i="4"/>
  <c r="R5" i="4"/>
  <c r="N6" i="4"/>
  <c r="N7" i="4"/>
  <c r="N8" i="4"/>
  <c r="N9" i="4"/>
  <c r="N10" i="4"/>
  <c r="R7" i="4" s="1"/>
  <c r="N11" i="4"/>
  <c r="N12" i="4"/>
  <c r="N18" i="4"/>
  <c r="R12" i="4" s="1"/>
  <c r="N5" i="4"/>
  <c r="P11" i="3"/>
  <c r="Q6" i="3"/>
  <c r="Q7" i="3"/>
  <c r="Q8" i="3"/>
  <c r="P6" i="3"/>
  <c r="P7" i="3"/>
  <c r="P8" i="3"/>
  <c r="P9" i="3"/>
  <c r="P10" i="3"/>
  <c r="P5" i="3"/>
  <c r="N6" i="3"/>
  <c r="N7" i="3"/>
  <c r="N8" i="3"/>
  <c r="N9" i="3"/>
  <c r="N10" i="3"/>
  <c r="N5" i="3"/>
  <c r="M17" i="2"/>
  <c r="M6" i="2"/>
  <c r="M7" i="2"/>
  <c r="M8" i="2"/>
  <c r="M9" i="2"/>
  <c r="M10" i="2"/>
  <c r="M11" i="2"/>
  <c r="M12" i="2"/>
  <c r="M13" i="2"/>
  <c r="M14" i="2"/>
  <c r="M15" i="2"/>
  <c r="M16" i="2"/>
  <c r="L6" i="2"/>
  <c r="L7" i="2"/>
  <c r="L8" i="2"/>
  <c r="L9" i="2"/>
  <c r="L10" i="2"/>
  <c r="L11" i="2"/>
  <c r="L12" i="2"/>
  <c r="L13" i="2"/>
  <c r="L14" i="2"/>
  <c r="L15" i="2"/>
  <c r="L16" i="2"/>
  <c r="M5" i="2"/>
  <c r="L5" i="2"/>
  <c r="R8" i="4" l="1"/>
  <c r="R9" i="4"/>
  <c r="S9" i="4" s="1"/>
  <c r="T9" i="4" s="1"/>
  <c r="N27" i="4"/>
  <c r="S5" i="4" s="1"/>
  <c r="T5" i="4" s="1"/>
  <c r="Q11" i="3"/>
  <c r="B6" i="7"/>
  <c r="F5" i="7" s="1"/>
  <c r="F6" i="7" s="1"/>
  <c r="F7" i="7" s="1"/>
  <c r="T6" i="3"/>
  <c r="S16" i="4"/>
  <c r="T16" i="4" s="1"/>
  <c r="S15" i="4"/>
  <c r="T15" i="4" s="1"/>
  <c r="S6" i="4"/>
  <c r="T6" i="4" s="1"/>
  <c r="S13" i="4"/>
  <c r="T13" i="4" s="1"/>
  <c r="S8" i="4"/>
  <c r="T8" i="4" s="1"/>
  <c r="S7" i="4"/>
  <c r="T7" i="4" s="1"/>
  <c r="S14" i="4"/>
  <c r="T14" i="4" s="1"/>
  <c r="S11" i="4"/>
  <c r="T11" i="4" s="1"/>
  <c r="S18" i="4"/>
  <c r="T18" i="4" s="1"/>
  <c r="S10" i="4"/>
  <c r="T10" i="4" s="1"/>
  <c r="R20" i="4"/>
  <c r="S12" i="4"/>
  <c r="T12" i="4" s="1"/>
  <c r="S19" i="4"/>
  <c r="T19" i="4" s="1"/>
  <c r="S17" i="4"/>
  <c r="T17" i="4" s="1"/>
  <c r="R23" i="4" l="1"/>
  <c r="B19" i="7" s="1"/>
  <c r="S20" i="4"/>
  <c r="T20" i="4" s="1"/>
  <c r="B7" i="7"/>
  <c r="B21" i="7" l="1"/>
  <c r="B10" i="7"/>
  <c r="C7" i="7" s="1"/>
  <c r="B9" i="7"/>
  <c r="B17" i="7" l="1"/>
  <c r="C6" i="7"/>
  <c r="B14" i="7"/>
  <c r="C4" i="7"/>
  <c r="C11" i="7" s="1"/>
</calcChain>
</file>

<file path=xl/sharedStrings.xml><?xml version="1.0" encoding="utf-8"?>
<sst xmlns="http://schemas.openxmlformats.org/spreadsheetml/2006/main" count="789" uniqueCount="375">
  <si>
    <t>AsterChem Specialty Chemicals Ltd — company data</t>
  </si>
  <si>
    <t>Company field</t>
  </si>
  <si>
    <t>Value</t>
  </si>
  <si>
    <t>Reporting year</t>
  </si>
  <si>
    <t>Industry</t>
  </si>
  <si>
    <t>Specialty chemicals: resins and industrial solvents</t>
  </si>
  <si>
    <t>Consolidation approach</t>
  </si>
  <si>
    <t>Operational control</t>
  </si>
  <si>
    <t>Headquarters</t>
  </si>
  <si>
    <t>Manchester, United Kingdom</t>
  </si>
  <si>
    <t>Reporting currency</t>
  </si>
  <si>
    <t>USD</t>
  </si>
  <si>
    <t>Employees</t>
  </si>
  <si>
    <t>Revenue (USD)</t>
  </si>
  <si>
    <t>Dataset status</t>
  </si>
  <si>
    <t>Synthetic; educational use only</t>
  </si>
  <si>
    <t>Site ID</t>
  </si>
  <si>
    <t>Site</t>
  </si>
  <si>
    <t>Country</t>
  </si>
  <si>
    <t>Primary activity</t>
  </si>
  <si>
    <t>Production output (tonnes)</t>
  </si>
  <si>
    <t>Owned or leased</t>
  </si>
  <si>
    <t>Operational control?</t>
  </si>
  <si>
    <t>SITE-UK</t>
  </si>
  <si>
    <t>Northport Plant</t>
  </si>
  <si>
    <t>United Kingdom</t>
  </si>
  <si>
    <t>Specialty resins</t>
  </si>
  <si>
    <t>Owned</t>
  </si>
  <si>
    <t>Yes</t>
  </si>
  <si>
    <t>SITE-DE</t>
  </si>
  <si>
    <t>Rheinhafen Plant</t>
  </si>
  <si>
    <t>Germany</t>
  </si>
  <si>
    <t>Industrial solvents</t>
  </si>
  <si>
    <t>SITE-US</t>
  </si>
  <si>
    <t>Riverbend Plant</t>
  </si>
  <si>
    <t>United States</t>
  </si>
  <si>
    <t>Specialty resins and intermediates</t>
  </si>
  <si>
    <t>Scope 1 raw activity data</t>
  </si>
  <si>
    <t>Direct sources controlled by AsterChem. Factor values are located on the Emission Factors sheet; this sheet contains no emissions calculations.</t>
  </si>
  <si>
    <t>Record ID</t>
  </si>
  <si>
    <t>Source type</t>
  </si>
  <si>
    <t>Activity description</t>
  </si>
  <si>
    <t>Activity amount</t>
  </si>
  <si>
    <t>Activity unit</t>
  </si>
  <si>
    <t>Factor ID</t>
  </si>
  <si>
    <t>Evidence type</t>
  </si>
  <si>
    <t>Additional information</t>
  </si>
  <si>
    <t>S1-001</t>
  </si>
  <si>
    <t>Stationary combustion</t>
  </si>
  <si>
    <t>Natural gas used in boilers and thermal oxidizer</t>
  </si>
  <si>
    <t>kWh</t>
  </si>
  <si>
    <t>NG-KWH</t>
  </si>
  <si>
    <t>Meter readings</t>
  </si>
  <si>
    <t>Annual total</t>
  </si>
  <si>
    <t>S1-002</t>
  </si>
  <si>
    <t>Mobile combustion</t>
  </si>
  <si>
    <t>Diesel used by forklifts and site vehicles</t>
  </si>
  <si>
    <t>litre</t>
  </si>
  <si>
    <t>DIESEL-L</t>
  </si>
  <si>
    <t>Fuel invoices</t>
  </si>
  <si>
    <t>Company-controlled fleet</t>
  </si>
  <si>
    <t>S1-003</t>
  </si>
  <si>
    <t>Process emissions</t>
  </si>
  <si>
    <t>Specialty resin manufactured</t>
  </si>
  <si>
    <t>tonne product</t>
  </si>
  <si>
    <t>PROC-RESIN</t>
  </si>
  <si>
    <t>Production records</t>
  </si>
  <si>
    <t>Reaction and vent emissions</t>
  </si>
  <si>
    <t>S1-004</t>
  </si>
  <si>
    <t>Fugitive emissions</t>
  </si>
  <si>
    <t>R-134a refrigerant leaked</t>
  </si>
  <si>
    <t>kg leaked</t>
  </si>
  <si>
    <t>R134A-KG</t>
  </si>
  <si>
    <t>Maintenance logs</t>
  </si>
  <si>
    <t>Cooling systems</t>
  </si>
  <si>
    <t>S1-005</t>
  </si>
  <si>
    <t>Natural gas used in steam boilers</t>
  </si>
  <si>
    <t>S1-006</t>
  </si>
  <si>
    <t>LPG used by material-handling equipment</t>
  </si>
  <si>
    <t>LPG-L</t>
  </si>
  <si>
    <t>Company-controlled equipment</t>
  </si>
  <si>
    <t>S1-007</t>
  </si>
  <si>
    <t>Industrial solvent manufactured</t>
  </si>
  <si>
    <t>PROC-SOLV</t>
  </si>
  <si>
    <t>Distillation and vent emissions</t>
  </si>
  <si>
    <t>S1-008</t>
  </si>
  <si>
    <t>R-410A refrigerant leaked</t>
  </si>
  <si>
    <t>R410A-KG</t>
  </si>
  <si>
    <t>HVAC and chillers</t>
  </si>
  <si>
    <t>S1-009</t>
  </si>
  <si>
    <t>Natural gas used for process heat</t>
  </si>
  <si>
    <t>S1-010</t>
  </si>
  <si>
    <t>Diesel used by on-site fleet</t>
  </si>
  <si>
    <t>S1-011</t>
  </si>
  <si>
    <t>Specialty resin and intermediates manufactured</t>
  </si>
  <si>
    <t>S1-012</t>
  </si>
  <si>
    <t>Scope 2 raw activity data</t>
  </si>
  <si>
    <t>Purchased electricity and steam. Location-based and market-based factor IDs are both supplied, but no Scope 2 result is calculated.</t>
  </si>
  <si>
    <t>Purchased energy</t>
  </si>
  <si>
    <t>Location factor ID</t>
  </si>
  <si>
    <t>Market factor ID</t>
  </si>
  <si>
    <t>Renewable share</t>
  </si>
  <si>
    <t>Contractual instrument</t>
  </si>
  <si>
    <t>Reporting note</t>
  </si>
  <si>
    <t>S2-001</t>
  </si>
  <si>
    <t>Electricity</t>
  </si>
  <si>
    <t>MWh</t>
  </si>
  <si>
    <t>ELEC-UK</t>
  </si>
  <si>
    <t>ELEC-MKT-UK</t>
  </si>
  <si>
    <t>Utility invoices</t>
  </si>
  <si>
    <t>Renewable supply contract</t>
  </si>
  <si>
    <t>Calculate both methods</t>
  </si>
  <si>
    <t>S2-002</t>
  </si>
  <si>
    <t>Steam</t>
  </si>
  <si>
    <t>STEAM-KWH</t>
  </si>
  <si>
    <t>Supplier statement</t>
  </si>
  <si>
    <t>None</t>
  </si>
  <si>
    <t>Same factor for both methods</t>
  </si>
  <si>
    <t>S2-003</t>
  </si>
  <si>
    <t>ELEC-DE</t>
  </si>
  <si>
    <t>ELEC-MKT-DE</t>
  </si>
  <si>
    <t>S2-004</t>
  </si>
  <si>
    <t>District steam</t>
  </si>
  <si>
    <t>S2-005</t>
  </si>
  <si>
    <t>ELEC-USMW</t>
  </si>
  <si>
    <t>ELEC-MKT-US</t>
  </si>
  <si>
    <t>Renewable energy certificates</t>
  </si>
  <si>
    <t>S2-006</t>
  </si>
  <si>
    <t>Third-party steam</t>
  </si>
  <si>
    <t>Scope 3 raw activity data</t>
  </si>
  <si>
    <t>All 15 Scope 3 categories are represented. No category emissions, subtotals, or total footprint are included.</t>
  </si>
  <si>
    <t>Category</t>
  </si>
  <si>
    <t>Category name</t>
  </si>
  <si>
    <t>Data source</t>
  </si>
  <si>
    <t>Calculation approach</t>
  </si>
  <si>
    <t>Included in inventory?</t>
  </si>
  <si>
    <t>Exclusion or boundary reason</t>
  </si>
  <si>
    <t>Data-quality level</t>
  </si>
  <si>
    <t>S3-001</t>
  </si>
  <si>
    <t>Purchased goods and services</t>
  </si>
  <si>
    <t>Methanol purchased</t>
  </si>
  <si>
    <t>tonne</t>
  </si>
  <si>
    <t>MAT-METH</t>
  </si>
  <si>
    <t>Procurement records</t>
  </si>
  <si>
    <t>Physical activity</t>
  </si>
  <si>
    <t>High</t>
  </si>
  <si>
    <t>S3-002</t>
  </si>
  <si>
    <t>Organic acid purchased</t>
  </si>
  <si>
    <t>MAT-ACID</t>
  </si>
  <si>
    <t>S3-003</t>
  </si>
  <si>
    <t>Packaging purchased</t>
  </si>
  <si>
    <t>MAT-PACK</t>
  </si>
  <si>
    <t>S3-004</t>
  </si>
  <si>
    <t>Capital goods</t>
  </si>
  <si>
    <t>New reactor and site equipment</t>
  </si>
  <si>
    <t>CAPEX-USD</t>
  </si>
  <si>
    <t>Capital ledger</t>
  </si>
  <si>
    <t>Spend based</t>
  </si>
  <si>
    <t>Medium</t>
  </si>
  <si>
    <t>S3-005</t>
  </si>
  <si>
    <t>Fuel- and energy-related activities</t>
  </si>
  <si>
    <t>Upstream natural gas</t>
  </si>
  <si>
    <t>WTT-NG</t>
  </si>
  <si>
    <t>Energy records</t>
  </si>
  <si>
    <t>Excludes direct combustion already in Scope 1</t>
  </si>
  <si>
    <t>S3-006</t>
  </si>
  <si>
    <t>Electricity transmission and distribution losses</t>
  </si>
  <si>
    <t>WTT-ELEC</t>
  </si>
  <si>
    <t>Electricity records</t>
  </si>
  <si>
    <t>Excludes generation emissions already in Scope 2</t>
  </si>
  <si>
    <t>S3-007</t>
  </si>
  <si>
    <t>Upstream transportation and distribution</t>
  </si>
  <si>
    <t>Inbound road freight</t>
  </si>
  <si>
    <t>tonne-km</t>
  </si>
  <si>
    <t>FREIGHT-ROAD</t>
  </si>
  <si>
    <t>Logistics records</t>
  </si>
  <si>
    <t>Distance based</t>
  </si>
  <si>
    <t>S3-008</t>
  </si>
  <si>
    <t>Inbound sea freight</t>
  </si>
  <si>
    <t>FREIGHT-SEA</t>
  </si>
  <si>
    <t>S3-009</t>
  </si>
  <si>
    <t>Waste generated in operations</t>
  </si>
  <si>
    <t>Hazardous waste sent to landfill</t>
  </si>
  <si>
    <t>WASTE-LF</t>
  </si>
  <si>
    <t>Waste manifests</t>
  </si>
  <si>
    <t>Waste specific</t>
  </si>
  <si>
    <t>S3-010</t>
  </si>
  <si>
    <t>Hazardous waste incinerated</t>
  </si>
  <si>
    <t>WASTE-INC</t>
  </si>
  <si>
    <t>S3-011</t>
  </si>
  <si>
    <t>Business travel</t>
  </si>
  <si>
    <t>Air travel</t>
  </si>
  <si>
    <t>passenger-km</t>
  </si>
  <si>
    <t>AIR-PKM</t>
  </si>
  <si>
    <t>Travel provider</t>
  </si>
  <si>
    <t>S3-012</t>
  </si>
  <si>
    <t>Rail travel</t>
  </si>
  <si>
    <t>RAIL-PKM</t>
  </si>
  <si>
    <t>S3-013</t>
  </si>
  <si>
    <t>Employee commuting</t>
  </si>
  <si>
    <t>employee-km</t>
  </si>
  <si>
    <t>COMMUTE-KM</t>
  </si>
  <si>
    <t>Employee survey</t>
  </si>
  <si>
    <t>Survey extrapolation</t>
  </si>
  <si>
    <t>Low</t>
  </si>
  <si>
    <t>S3-014</t>
  </si>
  <si>
    <t>Upstream leased assets</t>
  </si>
  <si>
    <t>Leased warehouses</t>
  </si>
  <si>
    <t>LEASE-KWH</t>
  </si>
  <si>
    <t>Boundary assessment</t>
  </si>
  <si>
    <t>Not applicable</t>
  </si>
  <si>
    <t>No</t>
  </si>
  <si>
    <t>Assets are inside operational boundary and covered by Scopes 1 and 2</t>
  </si>
  <si>
    <t>S3-015</t>
  </si>
  <si>
    <t>Downstream transportation and distribution</t>
  </si>
  <si>
    <t>Outbound road freight</t>
  </si>
  <si>
    <t>Distribution records</t>
  </si>
  <si>
    <t>S3-016</t>
  </si>
  <si>
    <t>Outbound sea freight</t>
  </si>
  <si>
    <t>S3-017</t>
  </si>
  <si>
    <t>Processing of sold products</t>
  </si>
  <si>
    <t>Customer processing of intermediates</t>
  </si>
  <si>
    <t>tonne sold</t>
  </si>
  <si>
    <t>PROCESS-SOLD</t>
  </si>
  <si>
    <t>Sales records</t>
  </si>
  <si>
    <t>Average processing factor</t>
  </si>
  <si>
    <t>S3-018</t>
  </si>
  <si>
    <t>Use of sold products</t>
  </si>
  <si>
    <t>Lifetime use of solvent products</t>
  </si>
  <si>
    <t>USE-SOLD</t>
  </si>
  <si>
    <t>Average use-phase factor</t>
  </si>
  <si>
    <t>S3-019</t>
  </si>
  <si>
    <t>End-of-life treatment of sold products</t>
  </si>
  <si>
    <t>Sold products reaching end of life</t>
  </si>
  <si>
    <t>EOL-PROD</t>
  </si>
  <si>
    <t>Sales and composition records</t>
  </si>
  <si>
    <t>Average disposal mix</t>
  </si>
  <si>
    <t>S3-020</t>
  </si>
  <si>
    <t>Downstream leased assets</t>
  </si>
  <si>
    <t>Leased dosing equipment energy</t>
  </si>
  <si>
    <t>LEASE-DOWN</t>
  </si>
  <si>
    <t>Customer estimates</t>
  </si>
  <si>
    <t>Energy based</t>
  </si>
  <si>
    <t>S3-021</t>
  </si>
  <si>
    <t>Franchises</t>
  </si>
  <si>
    <t>Licensed blending locations</t>
  </si>
  <si>
    <t>FRANCH-USD</t>
  </si>
  <si>
    <t>Franchise declarations</t>
  </si>
  <si>
    <t>S3-022</t>
  </si>
  <si>
    <t>Investments</t>
  </si>
  <si>
    <t>Minority joint venture investment</t>
  </si>
  <si>
    <t>USD invested</t>
  </si>
  <si>
    <t>INVEST-USD</t>
  </si>
  <si>
    <t>Finance records</t>
  </si>
  <si>
    <t>Spend-based proxy</t>
  </si>
  <si>
    <t>Synthetic emission-factor library</t>
  </si>
  <si>
    <t>Illustrative factors only. Replace them with authoritative factors that match the reporting year, geography, technology, and accounting standard.</t>
  </si>
  <si>
    <t>Emission source</t>
  </si>
  <si>
    <t>Factor value</t>
  </si>
  <si>
    <t>Factor unit</t>
  </si>
  <si>
    <t>Geography</t>
  </si>
  <si>
    <t>Factor type</t>
  </si>
  <si>
    <t>Basis</t>
  </si>
  <si>
    <t>Natural gas combustion</t>
  </si>
  <si>
    <t>kgCO2e/kWh</t>
  </si>
  <si>
    <t>Generic</t>
  </si>
  <si>
    <t>Combustion</t>
  </si>
  <si>
    <t>Synthetic rounded value</t>
  </si>
  <si>
    <t>Diesel combustion</t>
  </si>
  <si>
    <t>kgCO2e/litre</t>
  </si>
  <si>
    <t>LPG combustion</t>
  </si>
  <si>
    <t>Resin process releases</t>
  </si>
  <si>
    <t>kgCO2e/tonne product</t>
  </si>
  <si>
    <t>Process</t>
  </si>
  <si>
    <t>Synthetic process estimate</t>
  </si>
  <si>
    <t>Solvent process releases</t>
  </si>
  <si>
    <t>R-134a leakage</t>
  </si>
  <si>
    <t>kgCO2e/kg leaked</t>
  </si>
  <si>
    <t>Fugitive</t>
  </si>
  <si>
    <t>Illustrative GWP-based value</t>
  </si>
  <si>
    <t>R-410A leakage</t>
  </si>
  <si>
    <t>Grid electricity</t>
  </si>
  <si>
    <t>Location based</t>
  </si>
  <si>
    <t>Synthetic regional value</t>
  </si>
  <si>
    <t>United States Midwest</t>
  </si>
  <si>
    <t>Contractual electricity</t>
  </si>
  <si>
    <t>Market based</t>
  </si>
  <si>
    <t>Synthetic supplier value</t>
  </si>
  <si>
    <t>Purchased steam</t>
  </si>
  <si>
    <t>Purchased methanol</t>
  </si>
  <si>
    <t>kgCO2e/tonne</t>
  </si>
  <si>
    <t>Cradle to gate</t>
  </si>
  <si>
    <t>Synthetic value</t>
  </si>
  <si>
    <t>Purchased organic acid</t>
  </si>
  <si>
    <t>Packaging materials</t>
  </si>
  <si>
    <t>Synthetic weighted value</t>
  </si>
  <si>
    <t>Capital goods spend</t>
  </si>
  <si>
    <t>kgCO2e/USD</t>
  </si>
  <si>
    <t>Well to tank</t>
  </si>
  <si>
    <t>Electricity network losses</t>
  </si>
  <si>
    <t>T&amp;D losses</t>
  </si>
  <si>
    <t>Road freight</t>
  </si>
  <si>
    <t>kgCO2e/tonne-km</t>
  </si>
  <si>
    <t>Freight</t>
  </si>
  <si>
    <t>Sea freight</t>
  </si>
  <si>
    <t>Hazardous waste landfill</t>
  </si>
  <si>
    <t>Waste</t>
  </si>
  <si>
    <t>Hazardous waste incineration</t>
  </si>
  <si>
    <t>kgCO2e/passenger-km</t>
  </si>
  <si>
    <t>Travel</t>
  </si>
  <si>
    <t>kgCO2e/employee-km</t>
  </si>
  <si>
    <t>Commuting</t>
  </si>
  <si>
    <t>Synthetic modal average</t>
  </si>
  <si>
    <t>Leased warehouse energy</t>
  </si>
  <si>
    <t>Leased asset</t>
  </si>
  <si>
    <t>Processing sold intermediates</t>
  </si>
  <si>
    <t>kgCO2e/tonne sold</t>
  </si>
  <si>
    <t>Downstream</t>
  </si>
  <si>
    <t>Use of sold solvents</t>
  </si>
  <si>
    <t>End-of-life of sold products</t>
  </si>
  <si>
    <t>End of life</t>
  </si>
  <si>
    <t>Leased dosing equipment</t>
  </si>
  <si>
    <t>Franchise operations</t>
  </si>
  <si>
    <t>kgCO2e/USD invested</t>
  </si>
  <si>
    <t>Synthetic proxy</t>
  </si>
  <si>
    <t>Emission Factor</t>
  </si>
  <si>
    <t>Emission (tCO2e)</t>
  </si>
  <si>
    <t>Unit</t>
  </si>
  <si>
    <t>Tonnes</t>
  </si>
  <si>
    <t>Location Based Factor</t>
  </si>
  <si>
    <t>Market Based Factor</t>
  </si>
  <si>
    <t>Location Based Emissions (tCO2e)</t>
  </si>
  <si>
    <t>Market Based Emissions (tCO2e)</t>
  </si>
  <si>
    <t>%Difference</t>
  </si>
  <si>
    <t>Emissions (tCO2e)</t>
  </si>
  <si>
    <t>Total=</t>
  </si>
  <si>
    <t>Category Name</t>
  </si>
  <si>
    <t>Emissions</t>
  </si>
  <si>
    <t>Share of Scope 3</t>
  </si>
  <si>
    <t>% Share</t>
  </si>
  <si>
    <t>Check Total=</t>
  </si>
  <si>
    <t>AsterChem 2025 GHG Inventory</t>
  </si>
  <si>
    <t>Inventory component</t>
  </si>
  <si>
    <t>Emissions (tCO₂e)</t>
  </si>
  <si>
    <t>Share of market-based total</t>
  </si>
  <si>
    <t>Scope 1</t>
  </si>
  <si>
    <t>Scope 2 Location-Based</t>
  </si>
  <si>
    <t>Scope 2 Market-Based</t>
  </si>
  <si>
    <t>Scope 3</t>
  </si>
  <si>
    <t>Total Location-Based Inventory</t>
  </si>
  <si>
    <t>Total Market-Based Inventory</t>
  </si>
  <si>
    <t>Percentage Check</t>
  </si>
  <si>
    <t>Scope 2 comparison</t>
  </si>
  <si>
    <t>Location-based</t>
  </si>
  <si>
    <t>Market-based</t>
  </si>
  <si>
    <t>Absolute difference</t>
  </si>
  <si>
    <t>Percentage difference</t>
  </si>
  <si>
    <t>Total production (tonnes)</t>
  </si>
  <si>
    <t>Market-based emissions intensity</t>
  </si>
  <si>
    <t>tCO₂e per tonne of product</t>
  </si>
  <si>
    <t>Revenue (USD million)</t>
  </si>
  <si>
    <t>Revenue emissions intensity</t>
  </si>
  <si>
    <t>tCO₂e per USD million revenue</t>
  </si>
  <si>
    <t>Largest Category Value</t>
  </si>
  <si>
    <t>Largest Overall Scope</t>
  </si>
  <si>
    <t>Largest Category Value from Scope 3</t>
  </si>
  <si>
    <t>Sum of Source type</t>
  </si>
  <si>
    <t>Source</t>
  </si>
  <si>
    <t>Stationary Combustion</t>
  </si>
  <si>
    <t>Mobile Combustion</t>
  </si>
  <si>
    <t>Process Emissions</t>
  </si>
  <si>
    <t>Fugitive Emissions</t>
  </si>
  <si>
    <t>The workbook calculates a synthetic Scope 1, Scope 2 and Scope 3 inventory for educational and portfolio purposes</t>
  </si>
  <si>
    <t>Largest-Scope Emissions</t>
  </si>
  <si>
    <t>tCO₂e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</si>
</sst>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00"/>
  </numFmts>
  <fonts count="8">
    <font>
      <sz val="11"/>
      <name val="Carlito"/>
    </font>
    <font>
      <b/>
      <sz val="10"/>
      <color rgb="FF1F1F1F"/>
      <name val="Arial"/>
    </font>
    <font>
      <sz val="10"/>
      <color rgb="FF1F1F1F"/>
      <name val="Arial"/>
    </font>
    <font>
      <i/>
      <sz val="10"/>
      <color rgb="FF1F1F1F"/>
      <name val="Arial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sz val="11"/>
      <color rgb="FFFF0000"/>
      <name val="Carlito"/>
    </font>
    <font>
      <i/>
      <sz val="10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3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9" fontId="2" fillId="4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vertical="center" wrapText="1"/>
    </xf>
    <xf numFmtId="10" fontId="0" fillId="0" borderId="0" xfId="0" applyNumberFormat="1"/>
    <xf numFmtId="3" fontId="0" fillId="0" borderId="0" xfId="0" applyNumberFormat="1"/>
    <xf numFmtId="0" fontId="5" fillId="0" borderId="0" xfId="0" applyFont="1" applyAlignment="1">
      <alignment horizontal="right" vertical="center"/>
    </xf>
    <xf numFmtId="0" fontId="6" fillId="5" borderId="0" xfId="0" applyFont="1" applyFill="1"/>
    <xf numFmtId="0" fontId="0" fillId="6" borderId="0" xfId="0" applyFill="1" applyAlignment="1">
      <alignment vertical="center" wrapText="1"/>
    </xf>
    <xf numFmtId="0" fontId="0" fillId="6" borderId="0" xfId="0" applyFill="1" applyAlignment="1">
      <alignment vertical="center"/>
    </xf>
    <xf numFmtId="0" fontId="0" fillId="6" borderId="0" xfId="0" applyFill="1"/>
    <xf numFmtId="0" fontId="4" fillId="3" borderId="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DC4B-9CCE-43CC-AAFB-6E204AC59DC5}">
  <dimension ref="A1:F22"/>
  <sheetViews>
    <sheetView tabSelected="1" workbookViewId="0">
      <selection activeCell="D10" sqref="D10"/>
    </sheetView>
  </sheetViews>
  <sheetFormatPr defaultRowHeight="13.8"/>
  <cols>
    <col min="1" max="1" width="31.296875" bestFit="1" customWidth="1"/>
    <col min="2" max="2" width="25.8984375" bestFit="1" customWidth="1"/>
    <col min="3" max="3" width="26.09765625" bestFit="1" customWidth="1"/>
    <col min="5" max="5" width="18.69921875" bestFit="1" customWidth="1"/>
  </cols>
  <sheetData>
    <row r="1" spans="1:6">
      <c r="A1" s="19" t="s">
        <v>341</v>
      </c>
    </row>
    <row r="3" spans="1:6">
      <c r="A3" s="20" t="s">
        <v>342</v>
      </c>
      <c r="B3" s="21" t="s">
        <v>343</v>
      </c>
      <c r="C3" s="22" t="s">
        <v>344</v>
      </c>
      <c r="E3" s="22" t="s">
        <v>352</v>
      </c>
    </row>
    <row r="4" spans="1:6">
      <c r="A4" s="15" t="s">
        <v>345</v>
      </c>
      <c r="B4">
        <f>'Scope 1 Data'!M17</f>
        <v>64217.141999999993</v>
      </c>
      <c r="C4" s="16">
        <f>B4/B$10</f>
        <v>0.24040718418651408</v>
      </c>
      <c r="E4" s="15" t="s">
        <v>353</v>
      </c>
      <c r="F4">
        <f>B5</f>
        <v>42084</v>
      </c>
    </row>
    <row r="5" spans="1:6">
      <c r="A5" t="s">
        <v>346</v>
      </c>
      <c r="B5">
        <f>'Scope 2 Data'!P11</f>
        <v>42084</v>
      </c>
      <c r="E5" s="15" t="s">
        <v>354</v>
      </c>
      <c r="F5">
        <f>B6</f>
        <v>20949</v>
      </c>
    </row>
    <row r="6" spans="1:6">
      <c r="A6" t="s">
        <v>347</v>
      </c>
      <c r="B6">
        <f>'Scope 2 Data'!Q11</f>
        <v>20949</v>
      </c>
      <c r="C6" s="16">
        <f t="shared" ref="C6:C7" si="0">B6/B$10</f>
        <v>7.8425945856065729E-2</v>
      </c>
      <c r="E6" t="s">
        <v>355</v>
      </c>
      <c r="F6">
        <f>F4-F5</f>
        <v>21135</v>
      </c>
    </row>
    <row r="7" spans="1:6">
      <c r="A7" t="s">
        <v>348</v>
      </c>
      <c r="B7">
        <f>'Scope 3 Data'!R20</f>
        <v>181952.09</v>
      </c>
      <c r="C7" s="16">
        <f t="shared" si="0"/>
        <v>0.68116686995742026</v>
      </c>
      <c r="E7" t="s">
        <v>356</v>
      </c>
      <c r="F7" s="16">
        <f>F6/F4</f>
        <v>0.50220986598232109</v>
      </c>
    </row>
    <row r="9" spans="1:6">
      <c r="A9" t="s">
        <v>349</v>
      </c>
      <c r="B9">
        <f>B4+B5+B7</f>
        <v>288253.23199999996</v>
      </c>
    </row>
    <row r="10" spans="1:6">
      <c r="A10" t="s">
        <v>350</v>
      </c>
      <c r="B10">
        <f>B4+B6+B7</f>
        <v>267118.23199999996</v>
      </c>
    </row>
    <row r="11" spans="1:6">
      <c r="A11" t="s">
        <v>351</v>
      </c>
      <c r="C11" s="16">
        <f>SUM(C4,C6,C7)</f>
        <v>1</v>
      </c>
    </row>
    <row r="13" spans="1:6">
      <c r="A13" t="s">
        <v>357</v>
      </c>
      <c r="B13" s="17">
        <f>SUM('Company Data'!E15:E17)</f>
        <v>167000</v>
      </c>
    </row>
    <row r="14" spans="1:6">
      <c r="A14" t="s">
        <v>358</v>
      </c>
      <c r="B14">
        <f>B10/B13</f>
        <v>1.5995103712574847</v>
      </c>
      <c r="C14" t="s">
        <v>359</v>
      </c>
    </row>
    <row r="16" spans="1:6">
      <c r="A16" t="s">
        <v>360</v>
      </c>
      <c r="B16">
        <f>'Company Data'!B11/1000000</f>
        <v>486</v>
      </c>
    </row>
    <row r="17" spans="1:3">
      <c r="A17" t="s">
        <v>361</v>
      </c>
      <c r="B17">
        <f>B10/B16</f>
        <v>549.62599176954723</v>
      </c>
      <c r="C17" t="s">
        <v>362</v>
      </c>
    </row>
    <row r="19" spans="1:3">
      <c r="A19" t="s">
        <v>365</v>
      </c>
      <c r="B19" t="str">
        <f>'Scope 3 Data'!R23</f>
        <v>Purchased goods and services</v>
      </c>
    </row>
    <row r="21" spans="1:3">
      <c r="A21" t="s">
        <v>373</v>
      </c>
      <c r="B21">
        <f>MAX(B4,B6,B7)</f>
        <v>181952.09</v>
      </c>
      <c r="C21" t="s">
        <v>374</v>
      </c>
    </row>
    <row r="22" spans="1:3">
      <c r="A22" t="s">
        <v>364</v>
      </c>
      <c r="B22" s="13" t="str">
        <f>IF(B4=MAX(B4,B6,B7),A4,IF(B6=MAX(B4,B6,B7),A6,A7))</f>
        <v>Scope 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H17"/>
  <sheetViews>
    <sheetView showGridLines="0" workbookViewId="0">
      <pane ySplit="14" topLeftCell="A15" activePane="bottomLeft" state="frozen"/>
      <selection pane="bottomLeft" activeCell="A3" sqref="A3"/>
    </sheetView>
  </sheetViews>
  <sheetFormatPr defaultRowHeight="13.8"/>
  <cols>
    <col min="1" max="1" width="65.09765625" customWidth="1"/>
    <col min="2" max="2" width="43" customWidth="1"/>
    <col min="3" max="3" width="12.3984375" bestFit="1" customWidth="1"/>
    <col min="4" max="4" width="36" customWidth="1"/>
    <col min="5" max="5" width="19.59765625" customWidth="1"/>
    <col min="6" max="6" width="8.296875" customWidth="1"/>
    <col min="7" max="7" width="12.296875" customWidth="1"/>
    <col min="8" max="8" width="15.09765625" customWidth="1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24" t="s">
        <v>372</v>
      </c>
      <c r="B2" s="3"/>
      <c r="C2" s="3"/>
      <c r="D2" s="3"/>
      <c r="E2" s="3"/>
      <c r="F2" s="3"/>
      <c r="G2" s="3"/>
      <c r="H2" s="3"/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1" t="s">
        <v>1</v>
      </c>
      <c r="B4" s="1" t="s">
        <v>2</v>
      </c>
      <c r="C4" s="3"/>
      <c r="D4" s="3"/>
      <c r="E4" s="3"/>
      <c r="F4" s="3"/>
      <c r="G4" s="3"/>
      <c r="H4" s="3"/>
    </row>
    <row r="5" spans="1:8">
      <c r="A5" s="3" t="s">
        <v>3</v>
      </c>
      <c r="B5" s="5">
        <v>2025</v>
      </c>
      <c r="C5" s="3"/>
      <c r="D5" s="3"/>
      <c r="E5" s="3"/>
      <c r="F5" s="3"/>
      <c r="G5" s="3"/>
      <c r="H5" s="3"/>
    </row>
    <row r="6" spans="1:8">
      <c r="A6" s="3" t="s">
        <v>4</v>
      </c>
      <c r="B6" s="5" t="s">
        <v>5</v>
      </c>
      <c r="C6" s="3"/>
      <c r="D6" s="3"/>
      <c r="E6" s="3"/>
      <c r="F6" s="3"/>
      <c r="G6" s="3"/>
      <c r="H6" s="3"/>
    </row>
    <row r="7" spans="1:8">
      <c r="A7" s="3" t="s">
        <v>6</v>
      </c>
      <c r="B7" s="5" t="s">
        <v>7</v>
      </c>
      <c r="C7" s="3"/>
      <c r="D7" s="3"/>
      <c r="E7" s="3"/>
      <c r="F7" s="3"/>
      <c r="G7" s="3"/>
      <c r="H7" s="3"/>
    </row>
    <row r="8" spans="1:8">
      <c r="A8" s="3" t="s">
        <v>8</v>
      </c>
      <c r="B8" s="5" t="s">
        <v>9</v>
      </c>
      <c r="C8" s="3"/>
      <c r="D8" s="3"/>
      <c r="E8" s="3"/>
      <c r="F8" s="3"/>
      <c r="G8" s="3"/>
      <c r="H8" s="3"/>
    </row>
    <row r="9" spans="1:8">
      <c r="A9" s="3" t="s">
        <v>10</v>
      </c>
      <c r="B9" s="5" t="s">
        <v>11</v>
      </c>
      <c r="C9" s="3"/>
      <c r="D9" s="3"/>
      <c r="E9" s="3"/>
      <c r="F9" s="3"/>
      <c r="G9" s="3"/>
      <c r="H9" s="3"/>
    </row>
    <row r="10" spans="1:8">
      <c r="A10" s="3" t="s">
        <v>12</v>
      </c>
      <c r="B10" s="6">
        <v>1280</v>
      </c>
      <c r="C10" s="3"/>
      <c r="D10" s="3"/>
      <c r="E10" s="3"/>
      <c r="F10" s="3"/>
      <c r="G10" s="3"/>
      <c r="H10" s="3"/>
    </row>
    <row r="11" spans="1:8">
      <c r="A11" s="3" t="s">
        <v>13</v>
      </c>
      <c r="B11" s="7">
        <v>486000000</v>
      </c>
      <c r="C11" s="3"/>
      <c r="D11" s="3"/>
      <c r="E11" s="3"/>
      <c r="F11" s="3"/>
      <c r="G11" s="3"/>
      <c r="H11" s="3"/>
    </row>
    <row r="12" spans="1:8">
      <c r="A12" s="3" t="s">
        <v>14</v>
      </c>
      <c r="B12" s="5" t="s">
        <v>15</v>
      </c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 ht="26.4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12</v>
      </c>
      <c r="G14" s="1" t="s">
        <v>21</v>
      </c>
      <c r="H14" s="1" t="s">
        <v>22</v>
      </c>
    </row>
    <row r="15" spans="1:8">
      <c r="A15" s="5" t="s">
        <v>23</v>
      </c>
      <c r="B15" s="5" t="s">
        <v>24</v>
      </c>
      <c r="C15" s="5" t="s">
        <v>25</v>
      </c>
      <c r="D15" s="5" t="s">
        <v>26</v>
      </c>
      <c r="E15" s="6">
        <v>42000</v>
      </c>
      <c r="F15" s="6">
        <v>360</v>
      </c>
      <c r="G15" s="5" t="s">
        <v>27</v>
      </c>
      <c r="H15" s="5" t="s">
        <v>28</v>
      </c>
    </row>
    <row r="16" spans="1:8">
      <c r="A16" s="5" t="s">
        <v>29</v>
      </c>
      <c r="B16" s="5" t="s">
        <v>30</v>
      </c>
      <c r="C16" s="5" t="s">
        <v>31</v>
      </c>
      <c r="D16" s="5" t="s">
        <v>32</v>
      </c>
      <c r="E16" s="6">
        <v>58000</v>
      </c>
      <c r="F16" s="6">
        <v>410</v>
      </c>
      <c r="G16" s="5" t="s">
        <v>27</v>
      </c>
      <c r="H16" s="5" t="s">
        <v>28</v>
      </c>
    </row>
    <row r="17" spans="1:8">
      <c r="A17" s="5" t="s">
        <v>33</v>
      </c>
      <c r="B17" s="5" t="s">
        <v>34</v>
      </c>
      <c r="C17" s="5" t="s">
        <v>35</v>
      </c>
      <c r="D17" s="5" t="s">
        <v>36</v>
      </c>
      <c r="E17" s="6">
        <v>67000</v>
      </c>
      <c r="F17" s="6">
        <v>510</v>
      </c>
      <c r="G17" s="5" t="s">
        <v>27</v>
      </c>
      <c r="H17" s="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65911"/>
  </sheetPr>
  <dimension ref="A1:P17"/>
  <sheetViews>
    <sheetView showGridLines="0" topLeftCell="F1" workbookViewId="0">
      <pane ySplit="4" topLeftCell="A5" activePane="bottomLeft" state="frozen"/>
      <selection pane="bottomLeft" activeCell="M16" sqref="M16"/>
    </sheetView>
  </sheetViews>
  <sheetFormatPr defaultRowHeight="13.8"/>
  <cols>
    <col min="1" max="1" width="95.09765625" customWidth="1"/>
    <col min="2" max="2" width="6.8984375" customWidth="1"/>
    <col min="3" max="5" width="25" customWidth="1"/>
    <col min="6" max="6" width="36.19921875" bestFit="1" customWidth="1"/>
    <col min="7" max="7" width="11.69921875" customWidth="1"/>
    <col min="8" max="8" width="10.8984375" bestFit="1" customWidth="1"/>
    <col min="9" max="9" width="11" bestFit="1" customWidth="1"/>
    <col min="10" max="11" width="25" customWidth="1"/>
    <col min="12" max="12" width="6.09765625" bestFit="1" customWidth="1"/>
    <col min="15" max="15" width="17.59765625" bestFit="1" customWidth="1"/>
  </cols>
  <sheetData>
    <row r="1" spans="1:16">
      <c r="A1" s="2" t="s">
        <v>37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6">
      <c r="A2" s="4" t="s">
        <v>38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6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6" ht="39.6">
      <c r="A4" s="1" t="s">
        <v>39</v>
      </c>
      <c r="B4" s="1" t="s">
        <v>16</v>
      </c>
      <c r="C4" s="1" t="s">
        <v>17</v>
      </c>
      <c r="D4" s="1" t="s">
        <v>18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0" t="s">
        <v>325</v>
      </c>
      <c r="M4" s="11" t="s">
        <v>326</v>
      </c>
      <c r="N4" s="11" t="s">
        <v>327</v>
      </c>
      <c r="O4" s="11" t="s">
        <v>367</v>
      </c>
      <c r="P4" s="23" t="s">
        <v>366</v>
      </c>
    </row>
    <row r="5" spans="1:16">
      <c r="A5" s="3" t="s">
        <v>47</v>
      </c>
      <c r="B5" s="3" t="s">
        <v>23</v>
      </c>
      <c r="C5" s="3" t="s">
        <v>24</v>
      </c>
      <c r="D5" s="3" t="s">
        <v>25</v>
      </c>
      <c r="E5" s="3" t="s">
        <v>48</v>
      </c>
      <c r="F5" s="3" t="s">
        <v>49</v>
      </c>
      <c r="G5" s="6">
        <v>48500000</v>
      </c>
      <c r="H5" s="3" t="s">
        <v>50</v>
      </c>
      <c r="I5" s="3" t="s">
        <v>51</v>
      </c>
      <c r="J5" s="3" t="s">
        <v>52</v>
      </c>
      <c r="K5" s="3" t="s">
        <v>53</v>
      </c>
      <c r="L5">
        <f>VLOOKUP(I5,'Emission Factors'!$A$5:$G$38,3,)</f>
        <v>0.20200000000000001</v>
      </c>
      <c r="M5">
        <f>G5*L5/1000</f>
        <v>9797</v>
      </c>
      <c r="N5" s="12" t="s">
        <v>328</v>
      </c>
      <c r="O5" s="12" t="s">
        <v>368</v>
      </c>
      <c r="P5">
        <f>SUMIF($E$5:$E$16,"Stationary combustion",$M$5:$M$16)</f>
        <v>37006.400000000001</v>
      </c>
    </row>
    <row r="6" spans="1:16">
      <c r="A6" s="3" t="s">
        <v>54</v>
      </c>
      <c r="B6" s="3" t="s">
        <v>23</v>
      </c>
      <c r="C6" s="3" t="s">
        <v>24</v>
      </c>
      <c r="D6" s="3" t="s">
        <v>25</v>
      </c>
      <c r="E6" s="3" t="s">
        <v>55</v>
      </c>
      <c r="F6" s="3" t="s">
        <v>56</v>
      </c>
      <c r="G6" s="6">
        <v>145000</v>
      </c>
      <c r="H6" s="3" t="s">
        <v>57</v>
      </c>
      <c r="I6" s="3" t="s">
        <v>58</v>
      </c>
      <c r="J6" s="3" t="s">
        <v>59</v>
      </c>
      <c r="K6" s="3" t="s">
        <v>60</v>
      </c>
      <c r="L6">
        <f>VLOOKUP(I6,'Emission Factors'!$A$5:$G$38,3,)</f>
        <v>2.68</v>
      </c>
      <c r="M6">
        <f t="shared" ref="M6:M16" si="0">G6*L6/1000</f>
        <v>388.6</v>
      </c>
      <c r="N6" s="12" t="s">
        <v>328</v>
      </c>
      <c r="O6" s="12" t="s">
        <v>369</v>
      </c>
      <c r="P6">
        <f>SUMIF($E$5:$E$16,"Mobile combustion",$M$5:$M$16)</f>
        <v>1308.7</v>
      </c>
    </row>
    <row r="7" spans="1:16">
      <c r="A7" s="3" t="s">
        <v>61</v>
      </c>
      <c r="B7" s="3" t="s">
        <v>23</v>
      </c>
      <c r="C7" s="3" t="s">
        <v>24</v>
      </c>
      <c r="D7" s="3" t="s">
        <v>25</v>
      </c>
      <c r="E7" s="3" t="s">
        <v>62</v>
      </c>
      <c r="F7" s="3" t="s">
        <v>63</v>
      </c>
      <c r="G7" s="6">
        <v>42000</v>
      </c>
      <c r="H7" s="3" t="s">
        <v>64</v>
      </c>
      <c r="I7" s="3" t="s">
        <v>65</v>
      </c>
      <c r="J7" s="3" t="s">
        <v>66</v>
      </c>
      <c r="K7" s="3" t="s">
        <v>67</v>
      </c>
      <c r="L7">
        <f>VLOOKUP(I7,'Emission Factors'!$A$5:$G$38,3,)</f>
        <v>185</v>
      </c>
      <c r="M7">
        <f t="shared" si="0"/>
        <v>7770</v>
      </c>
      <c r="N7" s="12" t="s">
        <v>328</v>
      </c>
      <c r="O7" s="12" t="s">
        <v>370</v>
      </c>
      <c r="P7">
        <f>SUMIF($E$5:$E$16,"Process emissions",$M$5:$M$16)</f>
        <v>25501</v>
      </c>
    </row>
    <row r="8" spans="1:16">
      <c r="A8" s="3" t="s">
        <v>68</v>
      </c>
      <c r="B8" s="3" t="s">
        <v>23</v>
      </c>
      <c r="C8" s="3" t="s">
        <v>24</v>
      </c>
      <c r="D8" s="3" t="s">
        <v>25</v>
      </c>
      <c r="E8" s="3" t="s">
        <v>69</v>
      </c>
      <c r="F8" s="3" t="s">
        <v>70</v>
      </c>
      <c r="G8" s="6">
        <v>82</v>
      </c>
      <c r="H8" s="3" t="s">
        <v>71</v>
      </c>
      <c r="I8" s="3" t="s">
        <v>72</v>
      </c>
      <c r="J8" s="3" t="s">
        <v>73</v>
      </c>
      <c r="K8" s="3" t="s">
        <v>74</v>
      </c>
      <c r="L8">
        <f>VLOOKUP(I8,'Emission Factors'!$A$5:$G$38,3,)</f>
        <v>1430</v>
      </c>
      <c r="M8">
        <f t="shared" si="0"/>
        <v>117.26</v>
      </c>
      <c r="N8" s="12" t="s">
        <v>328</v>
      </c>
      <c r="O8" s="12" t="s">
        <v>371</v>
      </c>
      <c r="P8">
        <f>SUMIF($E$5:$E$16,"Fugitive emissions",$M$5:$M$16)</f>
        <v>401.04200000000003</v>
      </c>
    </row>
    <row r="9" spans="1:16">
      <c r="A9" s="3" t="s">
        <v>75</v>
      </c>
      <c r="B9" s="3" t="s">
        <v>29</v>
      </c>
      <c r="C9" s="3" t="s">
        <v>30</v>
      </c>
      <c r="D9" s="3" t="s">
        <v>31</v>
      </c>
      <c r="E9" s="3" t="s">
        <v>48</v>
      </c>
      <c r="F9" s="3" t="s">
        <v>76</v>
      </c>
      <c r="G9" s="6">
        <v>61200000</v>
      </c>
      <c r="H9" s="3" t="s">
        <v>50</v>
      </c>
      <c r="I9" s="3" t="s">
        <v>51</v>
      </c>
      <c r="J9" s="3" t="s">
        <v>52</v>
      </c>
      <c r="K9" s="3" t="s">
        <v>53</v>
      </c>
      <c r="L9">
        <f>VLOOKUP(I9,'Emission Factors'!$A$5:$G$38,3,)</f>
        <v>0.20200000000000001</v>
      </c>
      <c r="M9">
        <f t="shared" si="0"/>
        <v>12362.4</v>
      </c>
      <c r="N9" s="12" t="s">
        <v>328</v>
      </c>
      <c r="O9" s="12"/>
    </row>
    <row r="10" spans="1:16">
      <c r="A10" s="3" t="s">
        <v>77</v>
      </c>
      <c r="B10" s="3" t="s">
        <v>29</v>
      </c>
      <c r="C10" s="3" t="s">
        <v>30</v>
      </c>
      <c r="D10" s="3" t="s">
        <v>31</v>
      </c>
      <c r="E10" s="3" t="s">
        <v>55</v>
      </c>
      <c r="F10" s="3" t="s">
        <v>78</v>
      </c>
      <c r="G10" s="6">
        <v>210000</v>
      </c>
      <c r="H10" s="3" t="s">
        <v>57</v>
      </c>
      <c r="I10" s="3" t="s">
        <v>79</v>
      </c>
      <c r="J10" s="3" t="s">
        <v>59</v>
      </c>
      <c r="K10" s="3" t="s">
        <v>80</v>
      </c>
      <c r="L10">
        <f>VLOOKUP(I10,'Emission Factors'!$A$5:$G$38,3,)</f>
        <v>1.51</v>
      </c>
      <c r="M10">
        <f t="shared" si="0"/>
        <v>317.10000000000002</v>
      </c>
      <c r="N10" s="12" t="s">
        <v>328</v>
      </c>
      <c r="O10" s="12"/>
    </row>
    <row r="11" spans="1:16">
      <c r="A11" s="3" t="s">
        <v>81</v>
      </c>
      <c r="B11" s="3" t="s">
        <v>29</v>
      </c>
      <c r="C11" s="3" t="s">
        <v>30</v>
      </c>
      <c r="D11" s="3" t="s">
        <v>31</v>
      </c>
      <c r="E11" s="3" t="s">
        <v>62</v>
      </c>
      <c r="F11" s="3" t="s">
        <v>82</v>
      </c>
      <c r="G11" s="6">
        <v>58000</v>
      </c>
      <c r="H11" s="3" t="s">
        <v>64</v>
      </c>
      <c r="I11" s="3" t="s">
        <v>83</v>
      </c>
      <c r="J11" s="3" t="s">
        <v>66</v>
      </c>
      <c r="K11" s="3" t="s">
        <v>84</v>
      </c>
      <c r="L11">
        <f>VLOOKUP(I11,'Emission Factors'!$A$5:$G$38,3,)</f>
        <v>92</v>
      </c>
      <c r="M11">
        <f t="shared" si="0"/>
        <v>5336</v>
      </c>
      <c r="N11" s="12" t="s">
        <v>328</v>
      </c>
      <c r="O11" s="12"/>
    </row>
    <row r="12" spans="1:16">
      <c r="A12" s="3" t="s">
        <v>85</v>
      </c>
      <c r="B12" s="3" t="s">
        <v>29</v>
      </c>
      <c r="C12" s="3" t="s">
        <v>30</v>
      </c>
      <c r="D12" s="3" t="s">
        <v>31</v>
      </c>
      <c r="E12" s="3" t="s">
        <v>69</v>
      </c>
      <c r="F12" s="3" t="s">
        <v>86</v>
      </c>
      <c r="G12" s="6">
        <v>64</v>
      </c>
      <c r="H12" s="3" t="s">
        <v>71</v>
      </c>
      <c r="I12" s="3" t="s">
        <v>87</v>
      </c>
      <c r="J12" s="3" t="s">
        <v>73</v>
      </c>
      <c r="K12" s="3" t="s">
        <v>88</v>
      </c>
      <c r="L12">
        <f>VLOOKUP(I12,'Emission Factors'!$A$5:$G$38,3,)</f>
        <v>2088</v>
      </c>
      <c r="M12">
        <f t="shared" si="0"/>
        <v>133.63200000000001</v>
      </c>
      <c r="N12" s="12" t="s">
        <v>328</v>
      </c>
      <c r="O12" s="12"/>
    </row>
    <row r="13" spans="1:16">
      <c r="A13" s="3" t="s">
        <v>89</v>
      </c>
      <c r="B13" s="3" t="s">
        <v>33</v>
      </c>
      <c r="C13" s="3" t="s">
        <v>34</v>
      </c>
      <c r="D13" s="3" t="s">
        <v>35</v>
      </c>
      <c r="E13" s="3" t="s">
        <v>48</v>
      </c>
      <c r="F13" s="3" t="s">
        <v>90</v>
      </c>
      <c r="G13" s="6">
        <v>73500000</v>
      </c>
      <c r="H13" s="3" t="s">
        <v>50</v>
      </c>
      <c r="I13" s="3" t="s">
        <v>51</v>
      </c>
      <c r="J13" s="3" t="s">
        <v>52</v>
      </c>
      <c r="K13" s="3" t="s">
        <v>53</v>
      </c>
      <c r="L13">
        <f>VLOOKUP(I13,'Emission Factors'!$A$5:$G$38,3,)</f>
        <v>0.20200000000000001</v>
      </c>
      <c r="M13">
        <f t="shared" si="0"/>
        <v>14847.000000000002</v>
      </c>
      <c r="N13" s="12" t="s">
        <v>328</v>
      </c>
      <c r="O13" s="12"/>
    </row>
    <row r="14" spans="1:16">
      <c r="A14" s="3" t="s">
        <v>91</v>
      </c>
      <c r="B14" s="3" t="s">
        <v>33</v>
      </c>
      <c r="C14" s="3" t="s">
        <v>34</v>
      </c>
      <c r="D14" s="3" t="s">
        <v>35</v>
      </c>
      <c r="E14" s="3" t="s">
        <v>55</v>
      </c>
      <c r="F14" s="3" t="s">
        <v>92</v>
      </c>
      <c r="G14" s="6">
        <v>225000</v>
      </c>
      <c r="H14" s="3" t="s">
        <v>57</v>
      </c>
      <c r="I14" s="3" t="s">
        <v>58</v>
      </c>
      <c r="J14" s="3" t="s">
        <v>59</v>
      </c>
      <c r="K14" s="3" t="s">
        <v>60</v>
      </c>
      <c r="L14">
        <f>VLOOKUP(I14,'Emission Factors'!$A$5:$G$38,3,)</f>
        <v>2.68</v>
      </c>
      <c r="M14">
        <f t="shared" si="0"/>
        <v>603</v>
      </c>
      <c r="N14" s="12" t="s">
        <v>328</v>
      </c>
      <c r="O14" s="12"/>
    </row>
    <row r="15" spans="1:16">
      <c r="A15" s="3" t="s">
        <v>93</v>
      </c>
      <c r="B15" s="3" t="s">
        <v>33</v>
      </c>
      <c r="C15" s="3" t="s">
        <v>34</v>
      </c>
      <c r="D15" s="3" t="s">
        <v>35</v>
      </c>
      <c r="E15" s="3" t="s">
        <v>62</v>
      </c>
      <c r="F15" s="3" t="s">
        <v>94</v>
      </c>
      <c r="G15" s="6">
        <v>67000</v>
      </c>
      <c r="H15" s="3" t="s">
        <v>64</v>
      </c>
      <c r="I15" s="3" t="s">
        <v>65</v>
      </c>
      <c r="J15" s="3" t="s">
        <v>66</v>
      </c>
      <c r="K15" s="3" t="s">
        <v>67</v>
      </c>
      <c r="L15">
        <f>VLOOKUP(I15,'Emission Factors'!$A$5:$G$38,3,)</f>
        <v>185</v>
      </c>
      <c r="M15">
        <f t="shared" si="0"/>
        <v>12395</v>
      </c>
      <c r="N15" s="12" t="s">
        <v>328</v>
      </c>
      <c r="O15" s="12"/>
    </row>
    <row r="16" spans="1:16">
      <c r="A16" s="3" t="s">
        <v>95</v>
      </c>
      <c r="B16" s="3" t="s">
        <v>33</v>
      </c>
      <c r="C16" s="3" t="s">
        <v>34</v>
      </c>
      <c r="D16" s="3" t="s">
        <v>35</v>
      </c>
      <c r="E16" s="3" t="s">
        <v>69</v>
      </c>
      <c r="F16" s="3" t="s">
        <v>70</v>
      </c>
      <c r="G16" s="6">
        <v>105</v>
      </c>
      <c r="H16" s="3" t="s">
        <v>71</v>
      </c>
      <c r="I16" s="3" t="s">
        <v>72</v>
      </c>
      <c r="J16" s="3" t="s">
        <v>73</v>
      </c>
      <c r="K16" s="3" t="s">
        <v>74</v>
      </c>
      <c r="L16">
        <f>VLOOKUP(I16,'Emission Factors'!$A$5:$G$38,3,)</f>
        <v>1430</v>
      </c>
      <c r="M16">
        <f t="shared" si="0"/>
        <v>150.15</v>
      </c>
      <c r="N16" s="12" t="s">
        <v>328</v>
      </c>
      <c r="O16" s="12"/>
    </row>
    <row r="17" spans="12:14">
      <c r="L17" s="13" t="s">
        <v>335</v>
      </c>
      <c r="M17">
        <f>SUM(M5:M16)</f>
        <v>64217.141999999993</v>
      </c>
      <c r="N17" s="12" t="s">
        <v>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T12"/>
  <sheetViews>
    <sheetView showGridLines="0" topLeftCell="G1" workbookViewId="0">
      <pane ySplit="4" topLeftCell="A5" activePane="bottomLeft" state="frozen"/>
      <selection pane="bottomLeft" activeCell="Q10" sqref="Q10"/>
    </sheetView>
  </sheetViews>
  <sheetFormatPr defaultRowHeight="13.8"/>
  <cols>
    <col min="1" max="1" width="87.09765625" customWidth="1"/>
    <col min="2" max="2" width="6.8984375" customWidth="1"/>
    <col min="3" max="5" width="24" customWidth="1"/>
    <col min="6" max="6" width="11.69921875" customWidth="1"/>
    <col min="7" max="7" width="9" customWidth="1"/>
    <col min="8" max="8" width="13.09765625" customWidth="1"/>
    <col min="9" max="9" width="11.8984375" bestFit="1" customWidth="1"/>
    <col min="10" max="10" width="12.59765625" customWidth="1"/>
    <col min="11" max="13" width="24" customWidth="1"/>
    <col min="19" max="19" width="10.69921875" bestFit="1" customWidth="1"/>
  </cols>
  <sheetData>
    <row r="1" spans="1:20">
      <c r="A1" s="2" t="s">
        <v>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20">
      <c r="A2" s="4" t="s">
        <v>97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2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0" ht="52.8">
      <c r="A4" s="1" t="s">
        <v>39</v>
      </c>
      <c r="B4" s="1" t="s">
        <v>16</v>
      </c>
      <c r="C4" s="1" t="s">
        <v>17</v>
      </c>
      <c r="D4" s="1" t="s">
        <v>18</v>
      </c>
      <c r="E4" s="1" t="s">
        <v>98</v>
      </c>
      <c r="F4" s="1" t="s">
        <v>42</v>
      </c>
      <c r="G4" s="1" t="s">
        <v>43</v>
      </c>
      <c r="H4" s="1" t="s">
        <v>99</v>
      </c>
      <c r="I4" s="1" t="s">
        <v>100</v>
      </c>
      <c r="J4" s="1" t="s">
        <v>101</v>
      </c>
      <c r="K4" s="1" t="s">
        <v>45</v>
      </c>
      <c r="L4" s="1" t="s">
        <v>102</v>
      </c>
      <c r="M4" s="1" t="s">
        <v>103</v>
      </c>
      <c r="N4" s="11" t="s">
        <v>329</v>
      </c>
      <c r="O4" s="11" t="s">
        <v>330</v>
      </c>
      <c r="P4" s="11" t="s">
        <v>331</v>
      </c>
      <c r="Q4" s="11" t="s">
        <v>332</v>
      </c>
    </row>
    <row r="5" spans="1:20">
      <c r="A5" s="3" t="s">
        <v>104</v>
      </c>
      <c r="B5" s="3" t="s">
        <v>23</v>
      </c>
      <c r="C5" s="3" t="s">
        <v>24</v>
      </c>
      <c r="D5" s="3" t="s">
        <v>25</v>
      </c>
      <c r="E5" s="3" t="s">
        <v>105</v>
      </c>
      <c r="F5" s="6">
        <v>28400</v>
      </c>
      <c r="G5" s="3" t="s">
        <v>106</v>
      </c>
      <c r="H5" s="3" t="s">
        <v>107</v>
      </c>
      <c r="I5" s="3" t="s">
        <v>108</v>
      </c>
      <c r="J5" s="8">
        <v>0.55000000000000004</v>
      </c>
      <c r="K5" s="3" t="s">
        <v>109</v>
      </c>
      <c r="L5" s="3" t="s">
        <v>110</v>
      </c>
      <c r="M5" s="3" t="s">
        <v>111</v>
      </c>
      <c r="N5">
        <f>VLOOKUP(H5,'Emission Factors'!$A$5:$G$38,3,)</f>
        <v>0.20699999999999999</v>
      </c>
      <c r="O5">
        <f>VLOOKUP(I5,'Emission Factors'!A$5:G$38,3,)</f>
        <v>9.5000000000000001E-2</v>
      </c>
      <c r="P5">
        <f>F5*N5</f>
        <v>5878.7999999999993</v>
      </c>
      <c r="Q5">
        <f>F5*O5</f>
        <v>2698</v>
      </c>
    </row>
    <row r="6" spans="1:20">
      <c r="A6" s="3" t="s">
        <v>112</v>
      </c>
      <c r="B6" s="3" t="s">
        <v>23</v>
      </c>
      <c r="C6" s="3" t="s">
        <v>24</v>
      </c>
      <c r="D6" s="3" t="s">
        <v>25</v>
      </c>
      <c r="E6" s="3" t="s">
        <v>113</v>
      </c>
      <c r="F6" s="6">
        <v>9200</v>
      </c>
      <c r="G6" s="3" t="s">
        <v>106</v>
      </c>
      <c r="H6" s="3" t="s">
        <v>114</v>
      </c>
      <c r="I6" s="3" t="s">
        <v>114</v>
      </c>
      <c r="J6" s="8">
        <v>0</v>
      </c>
      <c r="K6" s="3" t="s">
        <v>115</v>
      </c>
      <c r="L6" s="3" t="s">
        <v>116</v>
      </c>
      <c r="M6" s="3" t="s">
        <v>117</v>
      </c>
      <c r="N6">
        <f>VLOOKUP(H6,'Emission Factors'!$A$5:$G$38,3,)</f>
        <v>0.17</v>
      </c>
      <c r="O6">
        <f>VLOOKUP(I6,'Emission Factors'!A$5:G$38,3,)</f>
        <v>0.17</v>
      </c>
      <c r="P6">
        <f t="shared" ref="P6:P10" si="0">F6*N6</f>
        <v>1564</v>
      </c>
      <c r="Q6">
        <f t="shared" ref="Q6:Q10" si="1">F6*O6</f>
        <v>1564</v>
      </c>
      <c r="S6" t="s">
        <v>333</v>
      </c>
      <c r="T6" s="16">
        <f>((P11-Q11)/P11)</f>
        <v>0.50220986598232109</v>
      </c>
    </row>
    <row r="7" spans="1:20">
      <c r="A7" s="3" t="s">
        <v>118</v>
      </c>
      <c r="B7" s="3" t="s">
        <v>29</v>
      </c>
      <c r="C7" s="3" t="s">
        <v>30</v>
      </c>
      <c r="D7" s="3" t="s">
        <v>31</v>
      </c>
      <c r="E7" s="3" t="s">
        <v>105</v>
      </c>
      <c r="F7" s="6">
        <v>36100</v>
      </c>
      <c r="G7" s="3" t="s">
        <v>106</v>
      </c>
      <c r="H7" s="3" t="s">
        <v>119</v>
      </c>
      <c r="I7" s="3" t="s">
        <v>120</v>
      </c>
      <c r="J7" s="8">
        <v>0.72</v>
      </c>
      <c r="K7" s="3" t="s">
        <v>109</v>
      </c>
      <c r="L7" s="3" t="s">
        <v>110</v>
      </c>
      <c r="M7" s="3" t="s">
        <v>111</v>
      </c>
      <c r="N7">
        <f>VLOOKUP(H7,'Emission Factors'!$A$5:$G$38,3,)</f>
        <v>0.36599999999999999</v>
      </c>
      <c r="O7">
        <f>VLOOKUP(I7,'Emission Factors'!A$5:G$38,3,)</f>
        <v>0.12</v>
      </c>
      <c r="P7">
        <f t="shared" si="0"/>
        <v>13212.6</v>
      </c>
      <c r="Q7">
        <f t="shared" si="1"/>
        <v>4332</v>
      </c>
    </row>
    <row r="8" spans="1:20">
      <c r="A8" s="3" t="s">
        <v>121</v>
      </c>
      <c r="B8" s="3" t="s">
        <v>29</v>
      </c>
      <c r="C8" s="3" t="s">
        <v>30</v>
      </c>
      <c r="D8" s="3" t="s">
        <v>31</v>
      </c>
      <c r="E8" s="3" t="s">
        <v>113</v>
      </c>
      <c r="F8" s="6">
        <v>11800</v>
      </c>
      <c r="G8" s="3" t="s">
        <v>106</v>
      </c>
      <c r="H8" s="3" t="s">
        <v>114</v>
      </c>
      <c r="I8" s="3" t="s">
        <v>114</v>
      </c>
      <c r="J8" s="8">
        <v>0</v>
      </c>
      <c r="K8" s="3" t="s">
        <v>115</v>
      </c>
      <c r="L8" s="3" t="s">
        <v>116</v>
      </c>
      <c r="M8" s="3" t="s">
        <v>122</v>
      </c>
      <c r="N8">
        <f>VLOOKUP(H8,'Emission Factors'!$A$5:$G$38,3,)</f>
        <v>0.17</v>
      </c>
      <c r="O8">
        <f>VLOOKUP(I8,'Emission Factors'!A$5:G$38,3,)</f>
        <v>0.17</v>
      </c>
      <c r="P8">
        <f t="shared" si="0"/>
        <v>2006.0000000000002</v>
      </c>
      <c r="Q8">
        <f t="shared" si="1"/>
        <v>2006.0000000000002</v>
      </c>
    </row>
    <row r="9" spans="1:20">
      <c r="A9" s="3" t="s">
        <v>123</v>
      </c>
      <c r="B9" s="3" t="s">
        <v>33</v>
      </c>
      <c r="C9" s="3" t="s">
        <v>34</v>
      </c>
      <c r="D9" s="3" t="s">
        <v>35</v>
      </c>
      <c r="E9" s="3" t="s">
        <v>105</v>
      </c>
      <c r="F9" s="6">
        <v>42800</v>
      </c>
      <c r="G9" s="3" t="s">
        <v>106</v>
      </c>
      <c r="H9" s="3" t="s">
        <v>124</v>
      </c>
      <c r="I9" s="3" t="s">
        <v>125</v>
      </c>
      <c r="J9" s="8">
        <v>0.38</v>
      </c>
      <c r="K9" s="3" t="s">
        <v>109</v>
      </c>
      <c r="L9" s="3" t="s">
        <v>126</v>
      </c>
      <c r="M9" s="3" t="s">
        <v>111</v>
      </c>
      <c r="N9">
        <f>VLOOKUP(H9,'Emission Factors'!$A$5:$G$38,3,)</f>
        <v>0.39700000000000002</v>
      </c>
      <c r="O9">
        <f>VLOOKUP(I9,'Emission Factors'!A$5:G$38,3,)</f>
        <v>0.185</v>
      </c>
      <c r="P9">
        <f t="shared" si="0"/>
        <v>16991.600000000002</v>
      </c>
      <c r="Q9">
        <f t="shared" si="1"/>
        <v>7918</v>
      </c>
    </row>
    <row r="10" spans="1:20">
      <c r="A10" s="3" t="s">
        <v>127</v>
      </c>
      <c r="B10" s="3" t="s">
        <v>33</v>
      </c>
      <c r="C10" s="3" t="s">
        <v>34</v>
      </c>
      <c r="D10" s="3" t="s">
        <v>35</v>
      </c>
      <c r="E10" s="3" t="s">
        <v>113</v>
      </c>
      <c r="F10" s="6">
        <v>14300</v>
      </c>
      <c r="G10" s="3" t="s">
        <v>106</v>
      </c>
      <c r="H10" s="3" t="s">
        <v>114</v>
      </c>
      <c r="I10" s="3" t="s">
        <v>114</v>
      </c>
      <c r="J10" s="8">
        <v>0</v>
      </c>
      <c r="K10" s="3" t="s">
        <v>115</v>
      </c>
      <c r="L10" s="3" t="s">
        <v>116</v>
      </c>
      <c r="M10" s="3" t="s">
        <v>128</v>
      </c>
      <c r="N10">
        <f>VLOOKUP(H10,'Emission Factors'!$A$5:$G$38,3,)</f>
        <v>0.17</v>
      </c>
      <c r="O10">
        <f>VLOOKUP(I10,'Emission Factors'!A$5:G$38,3,)</f>
        <v>0.17</v>
      </c>
      <c r="P10">
        <f t="shared" si="0"/>
        <v>2431</v>
      </c>
      <c r="Q10">
        <f t="shared" si="1"/>
        <v>2431</v>
      </c>
    </row>
    <row r="11" spans="1:20">
      <c r="O11" s="13" t="s">
        <v>335</v>
      </c>
      <c r="P11">
        <f>SUM(P5:P10)</f>
        <v>42084</v>
      </c>
      <c r="Q11">
        <f>SUM(Q5:Q10)</f>
        <v>20949</v>
      </c>
    </row>
    <row r="12" spans="1:20">
      <c r="O12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T27"/>
  <sheetViews>
    <sheetView showGridLines="0" topLeftCell="K1" workbookViewId="0">
      <pane ySplit="4" topLeftCell="A5" activePane="bottomLeft" state="frozen"/>
      <selection pane="bottomLeft" activeCell="R19" sqref="R19"/>
    </sheetView>
  </sheetViews>
  <sheetFormatPr defaultRowHeight="13.8"/>
  <cols>
    <col min="1" max="1" width="20.796875" bestFit="1" customWidth="1"/>
    <col min="2" max="2" width="6.8984375" customWidth="1"/>
    <col min="3" max="3" width="32.3984375" bestFit="1" customWidth="1"/>
    <col min="4" max="4" width="34.8984375" bestFit="1" customWidth="1"/>
    <col min="5" max="5" width="11.69921875" customWidth="1"/>
    <col min="6" max="6" width="11.19921875" bestFit="1" customWidth="1"/>
    <col min="7" max="7" width="13.8984375" bestFit="1" customWidth="1"/>
    <col min="8" max="8" width="23.69921875" bestFit="1" customWidth="1"/>
    <col min="9" max="9" width="24" customWidth="1"/>
    <col min="10" max="10" width="16.296875" customWidth="1"/>
    <col min="11" max="11" width="54.19921875" bestFit="1" customWidth="1"/>
    <col min="12" max="12" width="18" customWidth="1"/>
    <col min="17" max="17" width="32.3984375" bestFit="1" customWidth="1"/>
    <col min="18" max="18" width="25.8984375" bestFit="1" customWidth="1"/>
  </cols>
  <sheetData>
    <row r="1" spans="1:20">
      <c r="A1" s="2" t="s">
        <v>129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20">
      <c r="A2" s="4" t="s">
        <v>130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2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0" ht="26.4">
      <c r="A4" s="1" t="s">
        <v>39</v>
      </c>
      <c r="B4" s="1" t="s">
        <v>131</v>
      </c>
      <c r="C4" s="1" t="s">
        <v>132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133</v>
      </c>
      <c r="I4" s="1" t="s">
        <v>134</v>
      </c>
      <c r="J4" s="1" t="s">
        <v>135</v>
      </c>
      <c r="K4" s="1" t="s">
        <v>136</v>
      </c>
      <c r="L4" s="1" t="s">
        <v>137</v>
      </c>
      <c r="M4" s="11" t="s">
        <v>325</v>
      </c>
      <c r="N4" s="11" t="s">
        <v>334</v>
      </c>
      <c r="O4" s="11" t="s">
        <v>327</v>
      </c>
      <c r="P4" s="11" t="s">
        <v>131</v>
      </c>
      <c r="Q4" s="11" t="s">
        <v>336</v>
      </c>
      <c r="R4" s="11" t="s">
        <v>337</v>
      </c>
      <c r="S4" s="11" t="s">
        <v>338</v>
      </c>
      <c r="T4" s="11" t="s">
        <v>339</v>
      </c>
    </row>
    <row r="5" spans="1:20">
      <c r="A5" s="3" t="s">
        <v>138</v>
      </c>
      <c r="B5" s="3">
        <v>1</v>
      </c>
      <c r="C5" s="3" t="s">
        <v>139</v>
      </c>
      <c r="D5" s="3" t="s">
        <v>140</v>
      </c>
      <c r="E5" s="6">
        <v>62000</v>
      </c>
      <c r="F5" s="3" t="s">
        <v>141</v>
      </c>
      <c r="G5" s="3" t="s">
        <v>142</v>
      </c>
      <c r="H5" s="3" t="s">
        <v>143</v>
      </c>
      <c r="I5" s="3" t="s">
        <v>144</v>
      </c>
      <c r="J5" s="3" t="s">
        <v>28</v>
      </c>
      <c r="K5" s="3"/>
      <c r="L5" s="3" t="s">
        <v>145</v>
      </c>
      <c r="M5">
        <f>VLOOKUP(G5,'Emission Factors'!A$5:G$38,3,)</f>
        <v>730</v>
      </c>
      <c r="N5">
        <f>IF(J5 = "Yes",M5*E5/1000,0)</f>
        <v>45260</v>
      </c>
      <c r="O5" t="s">
        <v>328</v>
      </c>
      <c r="P5" s="3">
        <v>1</v>
      </c>
      <c r="Q5" s="3" t="s">
        <v>139</v>
      </c>
      <c r="R5">
        <f>SUMIF(B$5:B$26,P5,N$5:N$26)</f>
        <v>85920</v>
      </c>
      <c r="S5">
        <f>R5/N$27</f>
        <v>0.472212218062458</v>
      </c>
      <c r="T5">
        <f>S5*100</f>
        <v>47.221221806245801</v>
      </c>
    </row>
    <row r="6" spans="1:20">
      <c r="A6" s="3" t="s">
        <v>146</v>
      </c>
      <c r="B6" s="3">
        <v>1</v>
      </c>
      <c r="C6" s="3" t="s">
        <v>139</v>
      </c>
      <c r="D6" s="3" t="s">
        <v>147</v>
      </c>
      <c r="E6" s="6">
        <v>27500</v>
      </c>
      <c r="F6" s="3" t="s">
        <v>141</v>
      </c>
      <c r="G6" s="3" t="s">
        <v>148</v>
      </c>
      <c r="H6" s="3" t="s">
        <v>143</v>
      </c>
      <c r="I6" s="3" t="s">
        <v>144</v>
      </c>
      <c r="J6" s="3" t="s">
        <v>28</v>
      </c>
      <c r="K6" s="3"/>
      <c r="L6" s="3" t="s">
        <v>145</v>
      </c>
      <c r="M6">
        <f>VLOOKUP(G6,'Emission Factors'!A$5:G$38,3,)</f>
        <v>1120</v>
      </c>
      <c r="N6">
        <f t="shared" ref="N6:N26" si="0">IF(J6 = "Yes",M6*E6/1000,0)</f>
        <v>30800</v>
      </c>
      <c r="O6" t="s">
        <v>328</v>
      </c>
      <c r="P6" s="3">
        <v>2</v>
      </c>
      <c r="Q6" s="3" t="s">
        <v>153</v>
      </c>
      <c r="R6">
        <f t="shared" ref="R6:R19" si="1">SUMIF(B$5:B$26,P6,N$5:N$26)</f>
        <v>5735</v>
      </c>
      <c r="S6">
        <f t="shared" ref="S6:S20" si="2">R6/N$27</f>
        <v>3.1519286203307691E-2</v>
      </c>
      <c r="T6">
        <f t="shared" ref="T6:T20" si="3">S6*100</f>
        <v>3.1519286203307693</v>
      </c>
    </row>
    <row r="7" spans="1:20">
      <c r="A7" s="3" t="s">
        <v>149</v>
      </c>
      <c r="B7" s="3">
        <v>1</v>
      </c>
      <c r="C7" s="3" t="s">
        <v>139</v>
      </c>
      <c r="D7" s="3" t="s">
        <v>150</v>
      </c>
      <c r="E7" s="6">
        <v>6800</v>
      </c>
      <c r="F7" s="3" t="s">
        <v>141</v>
      </c>
      <c r="G7" s="3" t="s">
        <v>151</v>
      </c>
      <c r="H7" s="3" t="s">
        <v>143</v>
      </c>
      <c r="I7" s="3" t="s">
        <v>144</v>
      </c>
      <c r="J7" s="3" t="s">
        <v>28</v>
      </c>
      <c r="K7" s="3"/>
      <c r="L7" s="3" t="s">
        <v>145</v>
      </c>
      <c r="M7">
        <f>VLOOKUP(G7,'Emission Factors'!A$5:G$38,3,)</f>
        <v>1450</v>
      </c>
      <c r="N7">
        <f t="shared" si="0"/>
        <v>9860</v>
      </c>
      <c r="O7" t="s">
        <v>328</v>
      </c>
      <c r="P7" s="3">
        <v>3</v>
      </c>
      <c r="Q7" s="3" t="s">
        <v>160</v>
      </c>
      <c r="R7">
        <f t="shared" si="1"/>
        <v>8848.5</v>
      </c>
      <c r="S7">
        <f t="shared" si="2"/>
        <v>4.8630933560587286E-2</v>
      </c>
      <c r="T7">
        <f t="shared" si="3"/>
        <v>4.8630933560587284</v>
      </c>
    </row>
    <row r="8" spans="1:20">
      <c r="A8" s="3" t="s">
        <v>152</v>
      </c>
      <c r="B8" s="3">
        <v>2</v>
      </c>
      <c r="C8" s="3" t="s">
        <v>153</v>
      </c>
      <c r="D8" s="3" t="s">
        <v>154</v>
      </c>
      <c r="E8" s="6">
        <v>18500000</v>
      </c>
      <c r="F8" s="3" t="s">
        <v>11</v>
      </c>
      <c r="G8" s="3" t="s">
        <v>155</v>
      </c>
      <c r="H8" s="3" t="s">
        <v>156</v>
      </c>
      <c r="I8" s="3" t="s">
        <v>157</v>
      </c>
      <c r="J8" s="3" t="s">
        <v>28</v>
      </c>
      <c r="K8" s="3"/>
      <c r="L8" s="3" t="s">
        <v>158</v>
      </c>
      <c r="M8">
        <f>VLOOKUP(G8,'Emission Factors'!A$5:G$38,3,)</f>
        <v>0.31</v>
      </c>
      <c r="N8">
        <f t="shared" si="0"/>
        <v>5735</v>
      </c>
      <c r="O8" t="s">
        <v>328</v>
      </c>
      <c r="P8" s="3">
        <v>4</v>
      </c>
      <c r="Q8" s="3" t="s">
        <v>171</v>
      </c>
      <c r="R8">
        <f t="shared" si="1"/>
        <v>2633</v>
      </c>
      <c r="S8">
        <f t="shared" si="2"/>
        <v>1.4470842297002467E-2</v>
      </c>
      <c r="T8">
        <f t="shared" si="3"/>
        <v>1.4470842297002466</v>
      </c>
    </row>
    <row r="9" spans="1:20">
      <c r="A9" s="3" t="s">
        <v>159</v>
      </c>
      <c r="B9" s="3">
        <v>3</v>
      </c>
      <c r="C9" s="3" t="s">
        <v>160</v>
      </c>
      <c r="D9" s="3" t="s">
        <v>161</v>
      </c>
      <c r="E9" s="6">
        <v>183200000</v>
      </c>
      <c r="F9" s="3" t="s">
        <v>50</v>
      </c>
      <c r="G9" s="3" t="s">
        <v>162</v>
      </c>
      <c r="H9" s="3" t="s">
        <v>163</v>
      </c>
      <c r="I9" s="3" t="s">
        <v>144</v>
      </c>
      <c r="J9" s="3" t="s">
        <v>28</v>
      </c>
      <c r="K9" s="3" t="s">
        <v>164</v>
      </c>
      <c r="L9" s="3" t="s">
        <v>145</v>
      </c>
      <c r="M9">
        <f>VLOOKUP(G9,'Emission Factors'!A$5:G$38,3,)</f>
        <v>3.5999999999999997E-2</v>
      </c>
      <c r="N9">
        <f t="shared" si="0"/>
        <v>6595.1999999999989</v>
      </c>
      <c r="O9" t="s">
        <v>328</v>
      </c>
      <c r="P9" s="3">
        <v>5</v>
      </c>
      <c r="Q9" s="3" t="s">
        <v>181</v>
      </c>
      <c r="R9">
        <f t="shared" si="1"/>
        <v>1992</v>
      </c>
      <c r="S9">
        <f t="shared" si="2"/>
        <v>1.0947936899213412E-2</v>
      </c>
      <c r="T9">
        <f t="shared" si="3"/>
        <v>1.0947936899213413</v>
      </c>
    </row>
    <row r="10" spans="1:20">
      <c r="A10" s="3" t="s">
        <v>165</v>
      </c>
      <c r="B10" s="3">
        <v>3</v>
      </c>
      <c r="C10" s="3" t="s">
        <v>160</v>
      </c>
      <c r="D10" s="3" t="s">
        <v>166</v>
      </c>
      <c r="E10" s="6">
        <v>107300000</v>
      </c>
      <c r="F10" s="3" t="s">
        <v>50</v>
      </c>
      <c r="G10" s="3" t="s">
        <v>167</v>
      </c>
      <c r="H10" s="3" t="s">
        <v>168</v>
      </c>
      <c r="I10" s="3" t="s">
        <v>144</v>
      </c>
      <c r="J10" s="3" t="s">
        <v>28</v>
      </c>
      <c r="K10" s="3" t="s">
        <v>169</v>
      </c>
      <c r="L10" s="3" t="s">
        <v>145</v>
      </c>
      <c r="M10">
        <f>VLOOKUP(G10,'Emission Factors'!A$5:G$38,3,)</f>
        <v>2.1000000000000001E-2</v>
      </c>
      <c r="N10">
        <f t="shared" si="0"/>
        <v>2253.3000000000002</v>
      </c>
      <c r="O10" t="s">
        <v>328</v>
      </c>
      <c r="P10" s="3">
        <v>6</v>
      </c>
      <c r="Q10" s="3" t="s">
        <v>190</v>
      </c>
      <c r="R10">
        <f t="shared" si="1"/>
        <v>492.34000000000003</v>
      </c>
      <c r="S10">
        <f t="shared" si="2"/>
        <v>2.7058771350194437E-3</v>
      </c>
      <c r="T10">
        <f t="shared" si="3"/>
        <v>0.27058771350194438</v>
      </c>
    </row>
    <row r="11" spans="1:20">
      <c r="A11" s="3" t="s">
        <v>170</v>
      </c>
      <c r="B11" s="3">
        <v>4</v>
      </c>
      <c r="C11" s="3" t="s">
        <v>171</v>
      </c>
      <c r="D11" s="3" t="s">
        <v>172</v>
      </c>
      <c r="E11" s="6">
        <v>18600000</v>
      </c>
      <c r="F11" s="3" t="s">
        <v>173</v>
      </c>
      <c r="G11" s="3" t="s">
        <v>174</v>
      </c>
      <c r="H11" s="3" t="s">
        <v>175</v>
      </c>
      <c r="I11" s="3" t="s">
        <v>176</v>
      </c>
      <c r="J11" s="3" t="s">
        <v>28</v>
      </c>
      <c r="K11" s="3"/>
      <c r="L11" s="3" t="s">
        <v>158</v>
      </c>
      <c r="M11">
        <f>VLOOKUP(G11,'Emission Factors'!A$5:G$38,3,)</f>
        <v>0.105</v>
      </c>
      <c r="N11">
        <f t="shared" si="0"/>
        <v>1953</v>
      </c>
      <c r="O11" t="s">
        <v>328</v>
      </c>
      <c r="P11" s="3">
        <v>7</v>
      </c>
      <c r="Q11" s="3" t="s">
        <v>199</v>
      </c>
      <c r="R11">
        <f t="shared" si="1"/>
        <v>1033.2</v>
      </c>
      <c r="S11">
        <f t="shared" si="2"/>
        <v>5.6784178736281618E-3</v>
      </c>
      <c r="T11">
        <f t="shared" si="3"/>
        <v>0.56784178736281621</v>
      </c>
    </row>
    <row r="12" spans="1:20">
      <c r="A12" s="3" t="s">
        <v>177</v>
      </c>
      <c r="B12" s="3">
        <v>4</v>
      </c>
      <c r="C12" s="3" t="s">
        <v>171</v>
      </c>
      <c r="D12" s="3" t="s">
        <v>178</v>
      </c>
      <c r="E12" s="6">
        <v>42500000</v>
      </c>
      <c r="F12" s="3" t="s">
        <v>173</v>
      </c>
      <c r="G12" s="3" t="s">
        <v>179</v>
      </c>
      <c r="H12" s="3" t="s">
        <v>175</v>
      </c>
      <c r="I12" s="3" t="s">
        <v>176</v>
      </c>
      <c r="J12" s="3" t="s">
        <v>28</v>
      </c>
      <c r="K12" s="3"/>
      <c r="L12" s="3" t="s">
        <v>158</v>
      </c>
      <c r="M12">
        <f>VLOOKUP(G12,'Emission Factors'!A$5:G$38,3,)</f>
        <v>1.6E-2</v>
      </c>
      <c r="N12">
        <f t="shared" si="0"/>
        <v>680</v>
      </c>
      <c r="O12" t="s">
        <v>328</v>
      </c>
      <c r="P12" s="3">
        <v>8</v>
      </c>
      <c r="Q12" s="3" t="s">
        <v>206</v>
      </c>
      <c r="R12">
        <f t="shared" si="1"/>
        <v>0</v>
      </c>
      <c r="S12">
        <f t="shared" si="2"/>
        <v>0</v>
      </c>
      <c r="T12">
        <f t="shared" si="3"/>
        <v>0</v>
      </c>
    </row>
    <row r="13" spans="1:20">
      <c r="A13" s="3" t="s">
        <v>180</v>
      </c>
      <c r="B13" s="3">
        <v>5</v>
      </c>
      <c r="C13" s="3" t="s">
        <v>181</v>
      </c>
      <c r="D13" s="3" t="s">
        <v>182</v>
      </c>
      <c r="E13" s="6">
        <v>920</v>
      </c>
      <c r="F13" s="3" t="s">
        <v>141</v>
      </c>
      <c r="G13" s="3" t="s">
        <v>183</v>
      </c>
      <c r="H13" s="3" t="s">
        <v>184</v>
      </c>
      <c r="I13" s="3" t="s">
        <v>185</v>
      </c>
      <c r="J13" s="3" t="s">
        <v>28</v>
      </c>
      <c r="K13" s="3"/>
      <c r="L13" s="3" t="s">
        <v>145</v>
      </c>
      <c r="M13">
        <f>VLOOKUP(G13,'Emission Factors'!A$5:G$38,3,)</f>
        <v>610</v>
      </c>
      <c r="N13">
        <f t="shared" si="0"/>
        <v>561.20000000000005</v>
      </c>
      <c r="O13" t="s">
        <v>328</v>
      </c>
      <c r="P13" s="3">
        <v>9</v>
      </c>
      <c r="Q13" s="3" t="s">
        <v>214</v>
      </c>
      <c r="R13">
        <f t="shared" si="1"/>
        <v>3163.8</v>
      </c>
      <c r="S13">
        <f t="shared" si="2"/>
        <v>1.7388093755889254E-2</v>
      </c>
      <c r="T13">
        <f t="shared" si="3"/>
        <v>1.7388093755889253</v>
      </c>
    </row>
    <row r="14" spans="1:20">
      <c r="A14" s="3" t="s">
        <v>186</v>
      </c>
      <c r="B14" s="3">
        <v>5</v>
      </c>
      <c r="C14" s="3" t="s">
        <v>181</v>
      </c>
      <c r="D14" s="3" t="s">
        <v>187</v>
      </c>
      <c r="E14" s="6">
        <v>1460</v>
      </c>
      <c r="F14" s="3" t="s">
        <v>141</v>
      </c>
      <c r="G14" s="3" t="s">
        <v>188</v>
      </c>
      <c r="H14" s="3" t="s">
        <v>184</v>
      </c>
      <c r="I14" s="3" t="s">
        <v>185</v>
      </c>
      <c r="J14" s="3" t="s">
        <v>28</v>
      </c>
      <c r="K14" s="3"/>
      <c r="L14" s="3" t="s">
        <v>145</v>
      </c>
      <c r="M14">
        <f>VLOOKUP(G14,'Emission Factors'!A$5:G$38,3,)</f>
        <v>980</v>
      </c>
      <c r="N14">
        <f t="shared" si="0"/>
        <v>1430.8</v>
      </c>
      <c r="O14" t="s">
        <v>328</v>
      </c>
      <c r="P14" s="3">
        <v>10</v>
      </c>
      <c r="Q14" s="3" t="s">
        <v>220</v>
      </c>
      <c r="R14">
        <f t="shared" si="1"/>
        <v>33210</v>
      </c>
      <c r="S14">
        <f t="shared" si="2"/>
        <v>0.18252057450947662</v>
      </c>
      <c r="T14">
        <f t="shared" si="3"/>
        <v>18.25205745094766</v>
      </c>
    </row>
    <row r="15" spans="1:20">
      <c r="A15" s="3" t="s">
        <v>189</v>
      </c>
      <c r="B15" s="3">
        <v>6</v>
      </c>
      <c r="C15" s="3" t="s">
        <v>190</v>
      </c>
      <c r="D15" s="3" t="s">
        <v>191</v>
      </c>
      <c r="E15" s="6">
        <v>2950000</v>
      </c>
      <c r="F15" s="3" t="s">
        <v>192</v>
      </c>
      <c r="G15" s="3" t="s">
        <v>193</v>
      </c>
      <c r="H15" s="3" t="s">
        <v>194</v>
      </c>
      <c r="I15" s="3" t="s">
        <v>176</v>
      </c>
      <c r="J15" s="3" t="s">
        <v>28</v>
      </c>
      <c r="K15" s="3"/>
      <c r="L15" s="3" t="s">
        <v>158</v>
      </c>
      <c r="M15">
        <f>VLOOKUP(G15,'Emission Factors'!A$5:G$38,3,)</f>
        <v>0.158</v>
      </c>
      <c r="N15">
        <f t="shared" si="0"/>
        <v>466.1</v>
      </c>
      <c r="O15" t="s">
        <v>328</v>
      </c>
      <c r="P15" s="3">
        <v>11</v>
      </c>
      <c r="Q15" s="3" t="s">
        <v>227</v>
      </c>
      <c r="R15">
        <f t="shared" si="1"/>
        <v>14820</v>
      </c>
      <c r="S15">
        <f t="shared" si="2"/>
        <v>8.1450012473063646E-2</v>
      </c>
      <c r="T15">
        <f t="shared" si="3"/>
        <v>8.1450012473063644</v>
      </c>
    </row>
    <row r="16" spans="1:20">
      <c r="A16" s="3" t="s">
        <v>195</v>
      </c>
      <c r="B16" s="3">
        <v>6</v>
      </c>
      <c r="C16" s="3" t="s">
        <v>190</v>
      </c>
      <c r="D16" s="3" t="s">
        <v>196</v>
      </c>
      <c r="E16" s="6">
        <v>640000</v>
      </c>
      <c r="F16" s="3" t="s">
        <v>192</v>
      </c>
      <c r="G16" s="3" t="s">
        <v>197</v>
      </c>
      <c r="H16" s="3" t="s">
        <v>194</v>
      </c>
      <c r="I16" s="3" t="s">
        <v>176</v>
      </c>
      <c r="J16" s="3" t="s">
        <v>28</v>
      </c>
      <c r="K16" s="3"/>
      <c r="L16" s="3" t="s">
        <v>158</v>
      </c>
      <c r="M16">
        <f>VLOOKUP(G16,'Emission Factors'!A$5:G$38,3,)</f>
        <v>4.1000000000000002E-2</v>
      </c>
      <c r="N16">
        <f t="shared" si="0"/>
        <v>26.24</v>
      </c>
      <c r="O16" t="s">
        <v>328</v>
      </c>
      <c r="P16" s="3">
        <v>12</v>
      </c>
      <c r="Q16" s="3" t="s">
        <v>232</v>
      </c>
      <c r="R16">
        <f t="shared" si="1"/>
        <v>19706</v>
      </c>
      <c r="S16">
        <f t="shared" si="2"/>
        <v>0.10830323520878489</v>
      </c>
      <c r="T16">
        <f t="shared" si="3"/>
        <v>10.830323520878489</v>
      </c>
    </row>
    <row r="17" spans="1:20">
      <c r="A17" s="3" t="s">
        <v>198</v>
      </c>
      <c r="B17" s="3">
        <v>7</v>
      </c>
      <c r="C17" s="3" t="s">
        <v>199</v>
      </c>
      <c r="D17" s="3" t="s">
        <v>199</v>
      </c>
      <c r="E17" s="6">
        <v>8200000</v>
      </c>
      <c r="F17" s="3" t="s">
        <v>200</v>
      </c>
      <c r="G17" s="3" t="s">
        <v>201</v>
      </c>
      <c r="H17" s="3" t="s">
        <v>202</v>
      </c>
      <c r="I17" s="3" t="s">
        <v>203</v>
      </c>
      <c r="J17" s="3" t="s">
        <v>28</v>
      </c>
      <c r="K17" s="3"/>
      <c r="L17" s="3" t="s">
        <v>204</v>
      </c>
      <c r="M17">
        <f>VLOOKUP(G17,'Emission Factors'!A$5:G$38,3,)</f>
        <v>0.126</v>
      </c>
      <c r="N17">
        <f t="shared" si="0"/>
        <v>1033.2</v>
      </c>
      <c r="O17" t="s">
        <v>328</v>
      </c>
      <c r="P17" s="3">
        <v>13</v>
      </c>
      <c r="Q17" s="3" t="s">
        <v>238</v>
      </c>
      <c r="R17">
        <f t="shared" si="1"/>
        <v>416.25</v>
      </c>
      <c r="S17">
        <f t="shared" si="2"/>
        <v>2.2876901276594292E-3</v>
      </c>
      <c r="T17">
        <f t="shared" si="3"/>
        <v>0.22876901276594291</v>
      </c>
    </row>
    <row r="18" spans="1:20">
      <c r="A18" s="3" t="s">
        <v>205</v>
      </c>
      <c r="B18" s="3">
        <v>8</v>
      </c>
      <c r="C18" s="3" t="s">
        <v>206</v>
      </c>
      <c r="D18" s="3" t="s">
        <v>207</v>
      </c>
      <c r="E18" s="6">
        <v>0</v>
      </c>
      <c r="F18" s="3" t="s">
        <v>50</v>
      </c>
      <c r="G18" s="3" t="s">
        <v>208</v>
      </c>
      <c r="H18" s="3" t="s">
        <v>209</v>
      </c>
      <c r="I18" s="3" t="s">
        <v>210</v>
      </c>
      <c r="J18" s="3" t="s">
        <v>211</v>
      </c>
      <c r="K18" s="3" t="s">
        <v>212</v>
      </c>
      <c r="L18" s="3" t="s">
        <v>145</v>
      </c>
      <c r="M18">
        <f>VLOOKUP(G18,'Emission Factors'!A$5:G$38,3,)</f>
        <v>0.245</v>
      </c>
      <c r="N18">
        <f t="shared" si="0"/>
        <v>0</v>
      </c>
      <c r="O18" t="s">
        <v>328</v>
      </c>
      <c r="P18" s="3">
        <v>14</v>
      </c>
      <c r="Q18" s="3" t="s">
        <v>244</v>
      </c>
      <c r="R18">
        <f t="shared" si="1"/>
        <v>357</v>
      </c>
      <c r="S18">
        <f t="shared" si="2"/>
        <v>1.962054956334934E-3</v>
      </c>
      <c r="T18">
        <f t="shared" si="3"/>
        <v>0.1962054956334934</v>
      </c>
    </row>
    <row r="19" spans="1:20">
      <c r="A19" s="3" t="s">
        <v>213</v>
      </c>
      <c r="B19" s="3">
        <v>9</v>
      </c>
      <c r="C19" s="3" t="s">
        <v>214</v>
      </c>
      <c r="D19" s="3" t="s">
        <v>215</v>
      </c>
      <c r="E19" s="6">
        <v>21400000</v>
      </c>
      <c r="F19" s="3" t="s">
        <v>173</v>
      </c>
      <c r="G19" s="3" t="s">
        <v>174</v>
      </c>
      <c r="H19" s="3" t="s">
        <v>216</v>
      </c>
      <c r="I19" s="3" t="s">
        <v>176</v>
      </c>
      <c r="J19" s="3" t="s">
        <v>28</v>
      </c>
      <c r="K19" s="3"/>
      <c r="L19" s="3" t="s">
        <v>158</v>
      </c>
      <c r="M19">
        <f>VLOOKUP(G19,'Emission Factors'!A$5:G$38,3,)</f>
        <v>0.105</v>
      </c>
      <c r="N19">
        <f t="shared" si="0"/>
        <v>2247</v>
      </c>
      <c r="O19" t="s">
        <v>328</v>
      </c>
      <c r="P19" s="3">
        <v>15</v>
      </c>
      <c r="Q19" s="3" t="s">
        <v>249</v>
      </c>
      <c r="R19">
        <f t="shared" si="1"/>
        <v>3624.9999999999995</v>
      </c>
      <c r="S19">
        <f t="shared" si="2"/>
        <v>1.9922826937574606E-2</v>
      </c>
      <c r="T19">
        <f t="shared" si="3"/>
        <v>1.9922826937574607</v>
      </c>
    </row>
    <row r="20" spans="1:20">
      <c r="A20" s="3" t="s">
        <v>217</v>
      </c>
      <c r="B20" s="3">
        <v>9</v>
      </c>
      <c r="C20" s="3" t="s">
        <v>214</v>
      </c>
      <c r="D20" s="3" t="s">
        <v>218</v>
      </c>
      <c r="E20" s="6">
        <v>57300000</v>
      </c>
      <c r="F20" s="3" t="s">
        <v>173</v>
      </c>
      <c r="G20" s="3" t="s">
        <v>179</v>
      </c>
      <c r="H20" s="3" t="s">
        <v>216</v>
      </c>
      <c r="I20" s="3" t="s">
        <v>176</v>
      </c>
      <c r="J20" s="3" t="s">
        <v>28</v>
      </c>
      <c r="K20" s="3"/>
      <c r="L20" s="3" t="s">
        <v>158</v>
      </c>
      <c r="M20">
        <f>VLOOKUP(G20,'Emission Factors'!A$5:G$38,3,)</f>
        <v>1.6E-2</v>
      </c>
      <c r="N20">
        <f t="shared" si="0"/>
        <v>916.8</v>
      </c>
      <c r="O20" t="s">
        <v>328</v>
      </c>
      <c r="P20" s="3"/>
      <c r="Q20" s="14" t="s">
        <v>340</v>
      </c>
      <c r="R20">
        <f>SUM(R5:R19)</f>
        <v>181952.09</v>
      </c>
      <c r="S20">
        <f t="shared" si="2"/>
        <v>0.99999999999999989</v>
      </c>
      <c r="T20">
        <f t="shared" si="3"/>
        <v>99.999999999999986</v>
      </c>
    </row>
    <row r="21" spans="1:20">
      <c r="A21" s="3" t="s">
        <v>219</v>
      </c>
      <c r="B21" s="3">
        <v>10</v>
      </c>
      <c r="C21" s="3" t="s">
        <v>220</v>
      </c>
      <c r="D21" s="3" t="s">
        <v>221</v>
      </c>
      <c r="E21" s="6">
        <v>81000</v>
      </c>
      <c r="F21" s="3" t="s">
        <v>222</v>
      </c>
      <c r="G21" s="3" t="s">
        <v>223</v>
      </c>
      <c r="H21" s="3" t="s">
        <v>224</v>
      </c>
      <c r="I21" s="3" t="s">
        <v>225</v>
      </c>
      <c r="J21" s="3" t="s">
        <v>28</v>
      </c>
      <c r="K21" s="3"/>
      <c r="L21" s="3" t="s">
        <v>158</v>
      </c>
      <c r="M21">
        <f>VLOOKUP(G21,'Emission Factors'!A$5:G$38,3,)</f>
        <v>410</v>
      </c>
      <c r="N21">
        <f t="shared" si="0"/>
        <v>33210</v>
      </c>
      <c r="O21" t="s">
        <v>328</v>
      </c>
      <c r="P21" s="3"/>
      <c r="Q21" s="3"/>
    </row>
    <row r="22" spans="1:20">
      <c r="A22" s="3" t="s">
        <v>226</v>
      </c>
      <c r="B22" s="3">
        <v>11</v>
      </c>
      <c r="C22" s="3" t="s">
        <v>227</v>
      </c>
      <c r="D22" s="3" t="s">
        <v>228</v>
      </c>
      <c r="E22" s="6">
        <v>57000</v>
      </c>
      <c r="F22" s="3" t="s">
        <v>222</v>
      </c>
      <c r="G22" s="3" t="s">
        <v>229</v>
      </c>
      <c r="H22" s="3" t="s">
        <v>224</v>
      </c>
      <c r="I22" s="3" t="s">
        <v>230</v>
      </c>
      <c r="J22" s="3" t="s">
        <v>28</v>
      </c>
      <c r="K22" s="3"/>
      <c r="L22" s="3" t="s">
        <v>204</v>
      </c>
      <c r="M22">
        <f>VLOOKUP(G22,'Emission Factors'!A$5:G$38,3,)</f>
        <v>260</v>
      </c>
      <c r="N22">
        <f t="shared" si="0"/>
        <v>14820</v>
      </c>
      <c r="O22" t="s">
        <v>328</v>
      </c>
      <c r="P22" s="3"/>
      <c r="Q22" s="3"/>
    </row>
    <row r="23" spans="1:20">
      <c r="A23" s="3" t="s">
        <v>231</v>
      </c>
      <c r="B23" s="3">
        <v>12</v>
      </c>
      <c r="C23" s="3" t="s">
        <v>232</v>
      </c>
      <c r="D23" s="3" t="s">
        <v>233</v>
      </c>
      <c r="E23" s="6">
        <v>167000</v>
      </c>
      <c r="F23" s="3" t="s">
        <v>222</v>
      </c>
      <c r="G23" s="3" t="s">
        <v>234</v>
      </c>
      <c r="H23" s="3" t="s">
        <v>235</v>
      </c>
      <c r="I23" s="3" t="s">
        <v>236</v>
      </c>
      <c r="J23" s="3" t="s">
        <v>28</v>
      </c>
      <c r="K23" s="3"/>
      <c r="L23" s="3" t="s">
        <v>204</v>
      </c>
      <c r="M23">
        <f>VLOOKUP(G23,'Emission Factors'!A$5:G$38,3,)</f>
        <v>118</v>
      </c>
      <c r="N23">
        <f t="shared" si="0"/>
        <v>19706</v>
      </c>
      <c r="O23" t="s">
        <v>328</v>
      </c>
      <c r="P23" s="3"/>
      <c r="Q23" s="18" t="s">
        <v>363</v>
      </c>
      <c r="R23" t="str">
        <f>INDEX(Q5:Q19,MATCH(MAX(R5:R19),R5:R19,0))</f>
        <v>Purchased goods and services</v>
      </c>
    </row>
    <row r="24" spans="1:20">
      <c r="A24" s="3" t="s">
        <v>237</v>
      </c>
      <c r="B24" s="3">
        <v>13</v>
      </c>
      <c r="C24" s="3" t="s">
        <v>238</v>
      </c>
      <c r="D24" s="3" t="s">
        <v>239</v>
      </c>
      <c r="E24" s="6">
        <v>1850000</v>
      </c>
      <c r="F24" s="3" t="s">
        <v>50</v>
      </c>
      <c r="G24" s="3" t="s">
        <v>240</v>
      </c>
      <c r="H24" s="3" t="s">
        <v>241</v>
      </c>
      <c r="I24" s="3" t="s">
        <v>242</v>
      </c>
      <c r="J24" s="3" t="s">
        <v>28</v>
      </c>
      <c r="K24" s="3"/>
      <c r="L24" s="3" t="s">
        <v>204</v>
      </c>
      <c r="M24">
        <f>VLOOKUP(G24,'Emission Factors'!A$5:G$38,3,)</f>
        <v>0.22500000000000001</v>
      </c>
      <c r="N24">
        <f t="shared" si="0"/>
        <v>416.25</v>
      </c>
      <c r="O24" t="s">
        <v>328</v>
      </c>
      <c r="P24" s="3"/>
      <c r="Q24" s="3"/>
    </row>
    <row r="25" spans="1:20">
      <c r="A25" s="3" t="s">
        <v>243</v>
      </c>
      <c r="B25" s="3">
        <v>14</v>
      </c>
      <c r="C25" s="3" t="s">
        <v>244</v>
      </c>
      <c r="D25" s="3" t="s">
        <v>245</v>
      </c>
      <c r="E25" s="6">
        <v>2100000</v>
      </c>
      <c r="F25" s="3" t="s">
        <v>11</v>
      </c>
      <c r="G25" s="3" t="s">
        <v>246</v>
      </c>
      <c r="H25" s="3" t="s">
        <v>247</v>
      </c>
      <c r="I25" s="3" t="s">
        <v>157</v>
      </c>
      <c r="J25" s="3" t="s">
        <v>28</v>
      </c>
      <c r="K25" s="3"/>
      <c r="L25" s="3" t="s">
        <v>204</v>
      </c>
      <c r="M25">
        <f>VLOOKUP(G25,'Emission Factors'!A$5:G$38,3,)</f>
        <v>0.17</v>
      </c>
      <c r="N25">
        <f t="shared" si="0"/>
        <v>357</v>
      </c>
      <c r="O25" t="s">
        <v>328</v>
      </c>
      <c r="P25" s="3"/>
      <c r="Q25" s="3"/>
    </row>
    <row r="26" spans="1:20">
      <c r="A26" s="3" t="s">
        <v>248</v>
      </c>
      <c r="B26" s="3">
        <v>15</v>
      </c>
      <c r="C26" s="3" t="s">
        <v>249</v>
      </c>
      <c r="D26" s="3" t="s">
        <v>250</v>
      </c>
      <c r="E26" s="6">
        <v>12500000</v>
      </c>
      <c r="F26" s="3" t="s">
        <v>251</v>
      </c>
      <c r="G26" s="3" t="s">
        <v>252</v>
      </c>
      <c r="H26" s="3" t="s">
        <v>253</v>
      </c>
      <c r="I26" s="3" t="s">
        <v>254</v>
      </c>
      <c r="J26" s="3" t="s">
        <v>28</v>
      </c>
      <c r="K26" s="3"/>
      <c r="L26" s="3" t="s">
        <v>204</v>
      </c>
      <c r="M26">
        <f>VLOOKUP(G26,'Emission Factors'!A$5:G$38,3,)</f>
        <v>0.28999999999999998</v>
      </c>
      <c r="N26">
        <f t="shared" si="0"/>
        <v>3624.9999999999995</v>
      </c>
      <c r="O26" t="s">
        <v>328</v>
      </c>
      <c r="P26" s="3"/>
      <c r="Q26" s="3"/>
    </row>
    <row r="27" spans="1:20">
      <c r="M27" s="13" t="s">
        <v>335</v>
      </c>
      <c r="N27">
        <f>SUM(N5:N26)</f>
        <v>181952.09000000003</v>
      </c>
      <c r="O27" t="s">
        <v>328</v>
      </c>
      <c r="Q27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G38"/>
  <sheetViews>
    <sheetView showGridLines="0" workbookViewId="0">
      <pane ySplit="4" topLeftCell="A5" activePane="bottomLeft" state="frozen"/>
      <selection pane="bottomLeft" activeCell="F18" sqref="F18"/>
    </sheetView>
  </sheetViews>
  <sheetFormatPr defaultRowHeight="13.8"/>
  <cols>
    <col min="1" max="1" width="26.796875" bestFit="1" customWidth="1"/>
    <col min="2" max="2" width="35" customWidth="1"/>
    <col min="3" max="3" width="9.19921875" customWidth="1"/>
    <col min="4" max="4" width="26" customWidth="1"/>
    <col min="5" max="5" width="16.8984375" bestFit="1" customWidth="1"/>
    <col min="6" max="6" width="14.5" bestFit="1" customWidth="1"/>
    <col min="7" max="7" width="29" customWidth="1"/>
  </cols>
  <sheetData>
    <row r="1" spans="1:7">
      <c r="A1" s="2" t="s">
        <v>255</v>
      </c>
      <c r="B1" s="3"/>
      <c r="C1" s="3"/>
      <c r="D1" s="3"/>
      <c r="E1" s="3"/>
      <c r="F1" s="3"/>
      <c r="G1" s="3"/>
    </row>
    <row r="2" spans="1:7">
      <c r="A2" s="4" t="s">
        <v>256</v>
      </c>
      <c r="B2" s="3"/>
      <c r="C2" s="3"/>
      <c r="D2" s="3"/>
      <c r="E2" s="3"/>
      <c r="F2" s="3"/>
      <c r="G2" s="3"/>
    </row>
    <row r="3" spans="1:7">
      <c r="A3" s="3"/>
      <c r="B3" s="3"/>
      <c r="C3" s="3"/>
      <c r="D3" s="3"/>
      <c r="E3" s="3"/>
      <c r="F3" s="3"/>
      <c r="G3" s="3"/>
    </row>
    <row r="4" spans="1:7" ht="26.4">
      <c r="A4" s="1" t="s">
        <v>44</v>
      </c>
      <c r="B4" s="1" t="s">
        <v>257</v>
      </c>
      <c r="C4" s="1" t="s">
        <v>258</v>
      </c>
      <c r="D4" s="1" t="s">
        <v>259</v>
      </c>
      <c r="E4" s="1" t="s">
        <v>260</v>
      </c>
      <c r="F4" s="1" t="s">
        <v>261</v>
      </c>
      <c r="G4" s="1" t="s">
        <v>262</v>
      </c>
    </row>
    <row r="5" spans="1:7">
      <c r="A5" s="3" t="s">
        <v>51</v>
      </c>
      <c r="B5" s="3" t="s">
        <v>263</v>
      </c>
      <c r="C5" s="9">
        <v>0.20200000000000001</v>
      </c>
      <c r="D5" s="3" t="s">
        <v>264</v>
      </c>
      <c r="E5" s="3" t="s">
        <v>265</v>
      </c>
      <c r="F5" s="3" t="s">
        <v>266</v>
      </c>
      <c r="G5" s="3" t="s">
        <v>267</v>
      </c>
    </row>
    <row r="6" spans="1:7">
      <c r="A6" s="3" t="s">
        <v>58</v>
      </c>
      <c r="B6" s="3" t="s">
        <v>268</v>
      </c>
      <c r="C6" s="9">
        <v>2.68</v>
      </c>
      <c r="D6" s="3" t="s">
        <v>269</v>
      </c>
      <c r="E6" s="3" t="s">
        <v>265</v>
      </c>
      <c r="F6" s="3" t="s">
        <v>266</v>
      </c>
      <c r="G6" s="3" t="s">
        <v>267</v>
      </c>
    </row>
    <row r="7" spans="1:7">
      <c r="A7" s="3" t="s">
        <v>79</v>
      </c>
      <c r="B7" s="3" t="s">
        <v>270</v>
      </c>
      <c r="C7" s="9">
        <v>1.51</v>
      </c>
      <c r="D7" s="3" t="s">
        <v>269</v>
      </c>
      <c r="E7" s="3" t="s">
        <v>265</v>
      </c>
      <c r="F7" s="3" t="s">
        <v>266</v>
      </c>
      <c r="G7" s="3" t="s">
        <v>267</v>
      </c>
    </row>
    <row r="8" spans="1:7">
      <c r="A8" s="3" t="s">
        <v>65</v>
      </c>
      <c r="B8" s="3" t="s">
        <v>271</v>
      </c>
      <c r="C8" s="9">
        <v>185</v>
      </c>
      <c r="D8" s="3" t="s">
        <v>272</v>
      </c>
      <c r="E8" s="3" t="s">
        <v>265</v>
      </c>
      <c r="F8" s="3" t="s">
        <v>273</v>
      </c>
      <c r="G8" s="3" t="s">
        <v>274</v>
      </c>
    </row>
    <row r="9" spans="1:7">
      <c r="A9" s="3" t="s">
        <v>83</v>
      </c>
      <c r="B9" s="3" t="s">
        <v>275</v>
      </c>
      <c r="C9" s="9">
        <v>92</v>
      </c>
      <c r="D9" s="3" t="s">
        <v>272</v>
      </c>
      <c r="E9" s="3" t="s">
        <v>265</v>
      </c>
      <c r="F9" s="3" t="s">
        <v>273</v>
      </c>
      <c r="G9" s="3" t="s">
        <v>274</v>
      </c>
    </row>
    <row r="10" spans="1:7">
      <c r="A10" s="3" t="s">
        <v>72</v>
      </c>
      <c r="B10" s="3" t="s">
        <v>276</v>
      </c>
      <c r="C10" s="9">
        <v>1430</v>
      </c>
      <c r="D10" s="3" t="s">
        <v>277</v>
      </c>
      <c r="E10" s="3" t="s">
        <v>265</v>
      </c>
      <c r="F10" s="3" t="s">
        <v>278</v>
      </c>
      <c r="G10" s="3" t="s">
        <v>279</v>
      </c>
    </row>
    <row r="11" spans="1:7">
      <c r="A11" s="3" t="s">
        <v>87</v>
      </c>
      <c r="B11" s="3" t="s">
        <v>280</v>
      </c>
      <c r="C11" s="9">
        <v>2088</v>
      </c>
      <c r="D11" s="3" t="s">
        <v>277</v>
      </c>
      <c r="E11" s="3" t="s">
        <v>265</v>
      </c>
      <c r="F11" s="3" t="s">
        <v>278</v>
      </c>
      <c r="G11" s="3" t="s">
        <v>279</v>
      </c>
    </row>
    <row r="12" spans="1:7">
      <c r="A12" s="3" t="s">
        <v>107</v>
      </c>
      <c r="B12" s="3" t="s">
        <v>281</v>
      </c>
      <c r="C12" s="9">
        <v>0.20699999999999999</v>
      </c>
      <c r="D12" s="3" t="s">
        <v>264</v>
      </c>
      <c r="E12" s="3" t="s">
        <v>25</v>
      </c>
      <c r="F12" s="3" t="s">
        <v>282</v>
      </c>
      <c r="G12" s="3" t="s">
        <v>283</v>
      </c>
    </row>
    <row r="13" spans="1:7">
      <c r="A13" s="3" t="s">
        <v>119</v>
      </c>
      <c r="B13" s="3" t="s">
        <v>281</v>
      </c>
      <c r="C13" s="9">
        <v>0.36599999999999999</v>
      </c>
      <c r="D13" s="3" t="s">
        <v>264</v>
      </c>
      <c r="E13" s="3" t="s">
        <v>31</v>
      </c>
      <c r="F13" s="3" t="s">
        <v>282</v>
      </c>
      <c r="G13" s="3" t="s">
        <v>283</v>
      </c>
    </row>
    <row r="14" spans="1:7">
      <c r="A14" s="3" t="s">
        <v>124</v>
      </c>
      <c r="B14" s="3" t="s">
        <v>281</v>
      </c>
      <c r="C14" s="9">
        <v>0.39700000000000002</v>
      </c>
      <c r="D14" s="3" t="s">
        <v>264</v>
      </c>
      <c r="E14" s="3" t="s">
        <v>284</v>
      </c>
      <c r="F14" s="3" t="s">
        <v>282</v>
      </c>
      <c r="G14" s="3" t="s">
        <v>283</v>
      </c>
    </row>
    <row r="15" spans="1:7">
      <c r="A15" s="3" t="s">
        <v>108</v>
      </c>
      <c r="B15" s="3" t="s">
        <v>285</v>
      </c>
      <c r="C15" s="9">
        <v>9.5000000000000001E-2</v>
      </c>
      <c r="D15" s="3" t="s">
        <v>264</v>
      </c>
      <c r="E15" s="3" t="s">
        <v>25</v>
      </c>
      <c r="F15" s="3" t="s">
        <v>286</v>
      </c>
      <c r="G15" s="3" t="s">
        <v>287</v>
      </c>
    </row>
    <row r="16" spans="1:7">
      <c r="A16" s="3" t="s">
        <v>120</v>
      </c>
      <c r="B16" s="3" t="s">
        <v>285</v>
      </c>
      <c r="C16" s="9">
        <v>0.12</v>
      </c>
      <c r="D16" s="3" t="s">
        <v>264</v>
      </c>
      <c r="E16" s="3" t="s">
        <v>31</v>
      </c>
      <c r="F16" s="3" t="s">
        <v>286</v>
      </c>
      <c r="G16" s="3" t="s">
        <v>287</v>
      </c>
    </row>
    <row r="17" spans="1:7">
      <c r="A17" s="3" t="s">
        <v>125</v>
      </c>
      <c r="B17" s="3" t="s">
        <v>285</v>
      </c>
      <c r="C17" s="9">
        <v>0.185</v>
      </c>
      <c r="D17" s="3" t="s">
        <v>264</v>
      </c>
      <c r="E17" s="3" t="s">
        <v>35</v>
      </c>
      <c r="F17" s="3" t="s">
        <v>286</v>
      </c>
      <c r="G17" s="3" t="s">
        <v>287</v>
      </c>
    </row>
    <row r="18" spans="1:7">
      <c r="A18" s="3" t="s">
        <v>114</v>
      </c>
      <c r="B18" s="3" t="s">
        <v>288</v>
      </c>
      <c r="C18" s="9">
        <v>0.17</v>
      </c>
      <c r="D18" s="3" t="s">
        <v>264</v>
      </c>
      <c r="E18" s="3" t="s">
        <v>265</v>
      </c>
      <c r="F18" s="3" t="s">
        <v>98</v>
      </c>
      <c r="G18" s="3" t="s">
        <v>287</v>
      </c>
    </row>
    <row r="19" spans="1:7">
      <c r="A19" s="3" t="s">
        <v>142</v>
      </c>
      <c r="B19" s="3" t="s">
        <v>289</v>
      </c>
      <c r="C19" s="9">
        <v>730</v>
      </c>
      <c r="D19" s="3" t="s">
        <v>290</v>
      </c>
      <c r="E19" s="3" t="s">
        <v>265</v>
      </c>
      <c r="F19" s="3" t="s">
        <v>291</v>
      </c>
      <c r="G19" s="3" t="s">
        <v>292</v>
      </c>
    </row>
    <row r="20" spans="1:7">
      <c r="A20" s="3" t="s">
        <v>148</v>
      </c>
      <c r="B20" s="3" t="s">
        <v>293</v>
      </c>
      <c r="C20" s="9">
        <v>1120</v>
      </c>
      <c r="D20" s="3" t="s">
        <v>290</v>
      </c>
      <c r="E20" s="3" t="s">
        <v>265</v>
      </c>
      <c r="F20" s="3" t="s">
        <v>291</v>
      </c>
      <c r="G20" s="3" t="s">
        <v>292</v>
      </c>
    </row>
    <row r="21" spans="1:7">
      <c r="A21" s="3" t="s">
        <v>151</v>
      </c>
      <c r="B21" s="3" t="s">
        <v>294</v>
      </c>
      <c r="C21" s="9">
        <v>1450</v>
      </c>
      <c r="D21" s="3" t="s">
        <v>290</v>
      </c>
      <c r="E21" s="3" t="s">
        <v>265</v>
      </c>
      <c r="F21" s="3" t="s">
        <v>291</v>
      </c>
      <c r="G21" s="3" t="s">
        <v>295</v>
      </c>
    </row>
    <row r="22" spans="1:7">
      <c r="A22" s="3" t="s">
        <v>155</v>
      </c>
      <c r="B22" s="3" t="s">
        <v>296</v>
      </c>
      <c r="C22" s="9">
        <v>0.31</v>
      </c>
      <c r="D22" s="3" t="s">
        <v>297</v>
      </c>
      <c r="E22" s="3" t="s">
        <v>265</v>
      </c>
      <c r="F22" s="3" t="s">
        <v>157</v>
      </c>
      <c r="G22" s="3" t="s">
        <v>292</v>
      </c>
    </row>
    <row r="23" spans="1:7">
      <c r="A23" s="3" t="s">
        <v>162</v>
      </c>
      <c r="B23" s="3" t="s">
        <v>161</v>
      </c>
      <c r="C23" s="9">
        <v>3.5999999999999997E-2</v>
      </c>
      <c r="D23" s="3" t="s">
        <v>264</v>
      </c>
      <c r="E23" s="3" t="s">
        <v>265</v>
      </c>
      <c r="F23" s="3" t="s">
        <v>298</v>
      </c>
      <c r="G23" s="3" t="s">
        <v>292</v>
      </c>
    </row>
    <row r="24" spans="1:7">
      <c r="A24" s="3" t="s">
        <v>167</v>
      </c>
      <c r="B24" s="3" t="s">
        <v>299</v>
      </c>
      <c r="C24" s="9">
        <v>2.1000000000000001E-2</v>
      </c>
      <c r="D24" s="3" t="s">
        <v>264</v>
      </c>
      <c r="E24" s="3" t="s">
        <v>265</v>
      </c>
      <c r="F24" s="3" t="s">
        <v>300</v>
      </c>
      <c r="G24" s="3" t="s">
        <v>292</v>
      </c>
    </row>
    <row r="25" spans="1:7">
      <c r="A25" s="3" t="s">
        <v>174</v>
      </c>
      <c r="B25" s="3" t="s">
        <v>301</v>
      </c>
      <c r="C25" s="9">
        <v>0.105</v>
      </c>
      <c r="D25" s="3" t="s">
        <v>302</v>
      </c>
      <c r="E25" s="3" t="s">
        <v>265</v>
      </c>
      <c r="F25" s="3" t="s">
        <v>303</v>
      </c>
      <c r="G25" s="3" t="s">
        <v>292</v>
      </c>
    </row>
    <row r="26" spans="1:7">
      <c r="A26" s="3" t="s">
        <v>179</v>
      </c>
      <c r="B26" s="3" t="s">
        <v>304</v>
      </c>
      <c r="C26" s="9">
        <v>1.6E-2</v>
      </c>
      <c r="D26" s="3" t="s">
        <v>302</v>
      </c>
      <c r="E26" s="3" t="s">
        <v>265</v>
      </c>
      <c r="F26" s="3" t="s">
        <v>303</v>
      </c>
      <c r="G26" s="3" t="s">
        <v>292</v>
      </c>
    </row>
    <row r="27" spans="1:7">
      <c r="A27" s="3" t="s">
        <v>183</v>
      </c>
      <c r="B27" s="3" t="s">
        <v>305</v>
      </c>
      <c r="C27" s="9">
        <v>610</v>
      </c>
      <c r="D27" s="3" t="s">
        <v>290</v>
      </c>
      <c r="E27" s="3" t="s">
        <v>265</v>
      </c>
      <c r="F27" s="3" t="s">
        <v>306</v>
      </c>
      <c r="G27" s="3" t="s">
        <v>292</v>
      </c>
    </row>
    <row r="28" spans="1:7">
      <c r="A28" s="3" t="s">
        <v>188</v>
      </c>
      <c r="B28" s="3" t="s">
        <v>307</v>
      </c>
      <c r="C28" s="9">
        <v>980</v>
      </c>
      <c r="D28" s="3" t="s">
        <v>290</v>
      </c>
      <c r="E28" s="3" t="s">
        <v>265</v>
      </c>
      <c r="F28" s="3" t="s">
        <v>306</v>
      </c>
      <c r="G28" s="3" t="s">
        <v>292</v>
      </c>
    </row>
    <row r="29" spans="1:7">
      <c r="A29" s="3" t="s">
        <v>193</v>
      </c>
      <c r="B29" s="3" t="s">
        <v>191</v>
      </c>
      <c r="C29" s="9">
        <v>0.158</v>
      </c>
      <c r="D29" s="3" t="s">
        <v>308</v>
      </c>
      <c r="E29" s="3" t="s">
        <v>265</v>
      </c>
      <c r="F29" s="3" t="s">
        <v>309</v>
      </c>
      <c r="G29" s="3" t="s">
        <v>292</v>
      </c>
    </row>
    <row r="30" spans="1:7">
      <c r="A30" s="3" t="s">
        <v>197</v>
      </c>
      <c r="B30" s="3" t="s">
        <v>196</v>
      </c>
      <c r="C30" s="9">
        <v>4.1000000000000002E-2</v>
      </c>
      <c r="D30" s="3" t="s">
        <v>308</v>
      </c>
      <c r="E30" s="3" t="s">
        <v>265</v>
      </c>
      <c r="F30" s="3" t="s">
        <v>309</v>
      </c>
      <c r="G30" s="3" t="s">
        <v>292</v>
      </c>
    </row>
    <row r="31" spans="1:7">
      <c r="A31" s="3" t="s">
        <v>201</v>
      </c>
      <c r="B31" s="3" t="s">
        <v>199</v>
      </c>
      <c r="C31" s="9">
        <v>0.126</v>
      </c>
      <c r="D31" s="3" t="s">
        <v>310</v>
      </c>
      <c r="E31" s="3" t="s">
        <v>265</v>
      </c>
      <c r="F31" s="3" t="s">
        <v>311</v>
      </c>
      <c r="G31" s="3" t="s">
        <v>312</v>
      </c>
    </row>
    <row r="32" spans="1:7">
      <c r="A32" s="3" t="s">
        <v>208</v>
      </c>
      <c r="B32" s="3" t="s">
        <v>313</v>
      </c>
      <c r="C32" s="9">
        <v>0.245</v>
      </c>
      <c r="D32" s="3" t="s">
        <v>264</v>
      </c>
      <c r="E32" s="3" t="s">
        <v>265</v>
      </c>
      <c r="F32" s="3" t="s">
        <v>314</v>
      </c>
      <c r="G32" s="3" t="s">
        <v>292</v>
      </c>
    </row>
    <row r="33" spans="1:7">
      <c r="A33" s="3" t="s">
        <v>223</v>
      </c>
      <c r="B33" s="3" t="s">
        <v>315</v>
      </c>
      <c r="C33" s="9">
        <v>410</v>
      </c>
      <c r="D33" s="3" t="s">
        <v>316</v>
      </c>
      <c r="E33" s="3" t="s">
        <v>265</v>
      </c>
      <c r="F33" s="3" t="s">
        <v>317</v>
      </c>
      <c r="G33" s="3" t="s">
        <v>292</v>
      </c>
    </row>
    <row r="34" spans="1:7">
      <c r="A34" s="3" t="s">
        <v>229</v>
      </c>
      <c r="B34" s="3" t="s">
        <v>318</v>
      </c>
      <c r="C34" s="9">
        <v>260</v>
      </c>
      <c r="D34" s="3" t="s">
        <v>316</v>
      </c>
      <c r="E34" s="3" t="s">
        <v>265</v>
      </c>
      <c r="F34" s="3" t="s">
        <v>317</v>
      </c>
      <c r="G34" s="3" t="s">
        <v>292</v>
      </c>
    </row>
    <row r="35" spans="1:7">
      <c r="A35" s="3" t="s">
        <v>234</v>
      </c>
      <c r="B35" s="3" t="s">
        <v>319</v>
      </c>
      <c r="C35" s="9">
        <v>118</v>
      </c>
      <c r="D35" s="3" t="s">
        <v>316</v>
      </c>
      <c r="E35" s="3" t="s">
        <v>265</v>
      </c>
      <c r="F35" s="3" t="s">
        <v>320</v>
      </c>
      <c r="G35" s="3" t="s">
        <v>292</v>
      </c>
    </row>
    <row r="36" spans="1:7">
      <c r="A36" s="3" t="s">
        <v>240</v>
      </c>
      <c r="B36" s="3" t="s">
        <v>321</v>
      </c>
      <c r="C36" s="9">
        <v>0.22500000000000001</v>
      </c>
      <c r="D36" s="3" t="s">
        <v>264</v>
      </c>
      <c r="E36" s="3" t="s">
        <v>265</v>
      </c>
      <c r="F36" s="3" t="s">
        <v>314</v>
      </c>
      <c r="G36" s="3" t="s">
        <v>292</v>
      </c>
    </row>
    <row r="37" spans="1:7">
      <c r="A37" s="3" t="s">
        <v>246</v>
      </c>
      <c r="B37" s="3" t="s">
        <v>322</v>
      </c>
      <c r="C37" s="9">
        <v>0.17</v>
      </c>
      <c r="D37" s="3" t="s">
        <v>297</v>
      </c>
      <c r="E37" s="3" t="s">
        <v>265</v>
      </c>
      <c r="F37" s="3" t="s">
        <v>157</v>
      </c>
      <c r="G37" s="3" t="s">
        <v>292</v>
      </c>
    </row>
    <row r="38" spans="1:7">
      <c r="A38" s="3" t="s">
        <v>252</v>
      </c>
      <c r="B38" s="3" t="s">
        <v>249</v>
      </c>
      <c r="C38" s="9">
        <v>0.28999999999999998</v>
      </c>
      <c r="D38" s="3" t="s">
        <v>323</v>
      </c>
      <c r="E38" s="3" t="s">
        <v>265</v>
      </c>
      <c r="F38" s="3" t="s">
        <v>157</v>
      </c>
      <c r="G38" s="3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GHG Summary</vt:lpstr>
      <vt:lpstr>Company Data</vt:lpstr>
      <vt:lpstr>Scope 1 Data</vt:lpstr>
      <vt:lpstr>Scope 2 Data</vt:lpstr>
      <vt:lpstr>Scope 3 Data</vt:lpstr>
      <vt:lpstr>Emission 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</dc:creator>
  <cp:lastModifiedBy>ROHITH SAJISH BABU - 123159890 - MITMPL</cp:lastModifiedBy>
  <dcterms:created xsi:type="dcterms:W3CDTF">2026-09-16T19:51:50Z</dcterms:created>
  <dcterms:modified xsi:type="dcterms:W3CDTF">2026-09-17T13:41:46Z</dcterms:modified>
</cp:coreProperties>
</file>